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mpleados Activos" sheetId="1" state="visible" r:id="rId3"/>
    <sheet name="Tabla de mortalidad" sheetId="2" state="visible" r:id="rId4"/>
    <sheet name="Pensionados" sheetId="3" state="visible" r:id="rId5"/>
  </sheets>
  <definedNames>
    <definedName function="false" hidden="true" localSheetId="0" name="_xlnm._FilterDatabase" vbProcedure="false">'Empleados Activos'!$A$1:$E$225</definedName>
    <definedName function="false" hidden="true" localSheetId="2" name="_xlnm._FilterDatabase" vbProcedure="false">Pensionados!$A$1:$D$166</definedName>
    <definedName function="false" hidden="false" name="HTML_1 - tblResultado" vbProcedure="false">'Tabla de mortalidad'!$A$3:$D$118</definedName>
    <definedName function="false" hidden="false" name="HTML_all" vbProcedure="false">'Tabla de mortalidad'!$A$1:$D$118</definedName>
    <definedName function="false" hidden="false" name="HTML_tables" vbProcedure="false">'Tabla de mortalidad'!$A$1</definedName>
    <definedName function="false" hidden="true" name="_UNDO31X31X_" vbProcedure="false">'Empleados Activos'!$1:$225</definedName>
    <definedName function="false" hidden="true" name="_UNDO_UPS_" vbProcedure="false">'Empleados Activos'!$1:$225</definedName>
    <definedName function="false" hidden="true" name="_UNDO_UPS_SEL_" vbProcedure="false">'Empleados Activos'!$A$1:$E$225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<sst xmlns="http://schemas.openxmlformats.org/spreadsheetml/2006/main" count="639" uniqueCount="245">
  <si>
    <t xml:space="preserve">ID</t>
  </si>
  <si>
    <t xml:space="preserve">Salario Mensual</t>
  </si>
  <si>
    <t xml:space="preserve">Fecha de ingreso</t>
  </si>
  <si>
    <t xml:space="preserve">Sexo</t>
  </si>
  <si>
    <t xml:space="preserve">Fecha de nacimiento</t>
  </si>
  <si>
    <t xml:space="preserve">Edad</t>
  </si>
  <si>
    <t xml:space="preserve">Antigüedad</t>
  </si>
  <si>
    <t xml:space="preserve">Porcentaje salario para pensión</t>
  </si>
  <si>
    <t xml:space="preserve">Número de salarios para la suma única</t>
  </si>
  <si>
    <t xml:space="preserve">Femenino</t>
  </si>
  <si>
    <t xml:space="preserve">Masculino</t>
  </si>
  <si>
    <t xml:space="preserve">qx: Probabilidades de morir por edad</t>
  </si>
  <si>
    <t xml:space="preserve">Para fecha de nacimiento: 31/12/2025</t>
  </si>
  <si>
    <t xml:space="preserve">Año</t>
  </si>
  <si>
    <t xml:space="preserve">Hombres</t>
  </si>
  <si>
    <t xml:space="preserve">Mujeres</t>
  </si>
  <si>
    <t xml:space="preserve">0,00543650</t>
  </si>
  <si>
    <t xml:space="preserve">0,00464950</t>
  </si>
  <si>
    <t xml:space="preserve">0,00029860</t>
  </si>
  <si>
    <t xml:space="preserve">0,00022510</t>
  </si>
  <si>
    <t xml:space="preserve">0,00015010</t>
  </si>
  <si>
    <t xml:space="preserve">0,00011670</t>
  </si>
  <si>
    <t xml:space="preserve">0,00009960</t>
  </si>
  <si>
    <t xml:space="preserve">0,00008200</t>
  </si>
  <si>
    <t xml:space="preserve">0,00008300</t>
  </si>
  <si>
    <t xml:space="preserve">0,00006220</t>
  </si>
  <si>
    <t xml:space="preserve">0,00006140</t>
  </si>
  <si>
    <t xml:space="preserve">0,00008130</t>
  </si>
  <si>
    <t xml:space="preserve">0,00005940</t>
  </si>
  <si>
    <t xml:space="preserve">0,00005820</t>
  </si>
  <si>
    <t xml:space="preserve">0,00008420</t>
  </si>
  <si>
    <t xml:space="preserve">0,00005930</t>
  </si>
  <si>
    <t xml:space="preserve">0,00008880</t>
  </si>
  <si>
    <t xml:space="preserve">0,00006320</t>
  </si>
  <si>
    <t xml:space="preserve">0,00009700</t>
  </si>
  <si>
    <t xml:space="preserve">0,00006980</t>
  </si>
  <si>
    <t xml:space="preserve">0,00010930</t>
  </si>
  <si>
    <t xml:space="preserve">0,00007890</t>
  </si>
  <si>
    <t xml:space="preserve">0,00012810</t>
  </si>
  <si>
    <t xml:space="preserve">0,00009150</t>
  </si>
  <si>
    <t xml:space="preserve">0,00015930</t>
  </si>
  <si>
    <t xml:space="preserve">0,00011020</t>
  </si>
  <si>
    <t xml:space="preserve">0,00021070</t>
  </si>
  <si>
    <t xml:space="preserve">0,00013370</t>
  </si>
  <si>
    <t xml:space="preserve">0,00028750</t>
  </si>
  <si>
    <t xml:space="preserve">0,00015450</t>
  </si>
  <si>
    <t xml:space="preserve">0,00038550</t>
  </si>
  <si>
    <t xml:space="preserve">0,00016550</t>
  </si>
  <si>
    <t xml:space="preserve">0,00048980</t>
  </si>
  <si>
    <t xml:space="preserve">0,00016780</t>
  </si>
  <si>
    <t xml:space="preserve">0,00058700</t>
  </si>
  <si>
    <t xml:space="preserve">0,00016940</t>
  </si>
  <si>
    <t xml:space="preserve">0,00066910</t>
  </si>
  <si>
    <t xml:space="preserve">0,00017420</t>
  </si>
  <si>
    <t xml:space="preserve">0,00073420</t>
  </si>
  <si>
    <t xml:space="preserve">0,00017940</t>
  </si>
  <si>
    <t xml:space="preserve">0,00078150</t>
  </si>
  <si>
    <t xml:space="preserve">0,00017890</t>
  </si>
  <si>
    <t xml:space="preserve">0,00081310</t>
  </si>
  <si>
    <t xml:space="preserve">0,00017130</t>
  </si>
  <si>
    <t xml:space="preserve">0,00083710</t>
  </si>
  <si>
    <t xml:space="preserve">0,00016210</t>
  </si>
  <si>
    <t xml:space="preserve">0,00085530</t>
  </si>
  <si>
    <t xml:space="preserve">0,00015870</t>
  </si>
  <si>
    <t xml:space="preserve">0,00086100</t>
  </si>
  <si>
    <t xml:space="preserve">0,00016160</t>
  </si>
  <si>
    <t xml:space="preserve">0,00086270</t>
  </si>
  <si>
    <t xml:space="preserve">0,00016670</t>
  </si>
  <si>
    <t xml:space="preserve">0,00087180</t>
  </si>
  <si>
    <t xml:space="preserve">0,00016950</t>
  </si>
  <si>
    <t xml:space="preserve">0,00089930</t>
  </si>
  <si>
    <t xml:space="preserve">0,00017230</t>
  </si>
  <si>
    <t xml:space="preserve">0,00092280</t>
  </si>
  <si>
    <t xml:space="preserve">0,00017530</t>
  </si>
  <si>
    <t xml:space="preserve">0,00092900</t>
  </si>
  <si>
    <t xml:space="preserve">0,00018020</t>
  </si>
  <si>
    <t xml:space="preserve">0,00092940</t>
  </si>
  <si>
    <t xml:space="preserve">0,00018740</t>
  </si>
  <si>
    <t xml:space="preserve">0,00093130</t>
  </si>
  <si>
    <t xml:space="preserve">0,00019620</t>
  </si>
  <si>
    <t xml:space="preserve">0,00092830</t>
  </si>
  <si>
    <t xml:space="preserve">0,00020470</t>
  </si>
  <si>
    <t xml:space="preserve">0,00091490</t>
  </si>
  <si>
    <t xml:space="preserve">0,00021220</t>
  </si>
  <si>
    <t xml:space="preserve">0,00089500</t>
  </si>
  <si>
    <t xml:space="preserve">0,00021910</t>
  </si>
  <si>
    <t xml:space="preserve">0,00089100</t>
  </si>
  <si>
    <t xml:space="preserve">0,00023060</t>
  </si>
  <si>
    <t xml:space="preserve">0,00090280</t>
  </si>
  <si>
    <t xml:space="preserve">0,00024270</t>
  </si>
  <si>
    <t xml:space="preserve">0,00093660</t>
  </si>
  <si>
    <t xml:space="preserve">0,00025680</t>
  </si>
  <si>
    <t xml:space="preserve">0,00098820</t>
  </si>
  <si>
    <t xml:space="preserve">0,00027330</t>
  </si>
  <si>
    <t xml:space="preserve">0,00105410</t>
  </si>
  <si>
    <t xml:space="preserve">0,00029210</t>
  </si>
  <si>
    <t xml:space="preserve">0,00113380</t>
  </si>
  <si>
    <t xml:space="preserve">0,00031220</t>
  </si>
  <si>
    <t xml:space="preserve">0,00121610</t>
  </si>
  <si>
    <t xml:space="preserve">0,00033400</t>
  </si>
  <si>
    <t xml:space="preserve">0,00128370</t>
  </si>
  <si>
    <t xml:space="preserve">0,00036200</t>
  </si>
  <si>
    <t xml:space="preserve">0,00132800</t>
  </si>
  <si>
    <t xml:space="preserve">0,00040170</t>
  </si>
  <si>
    <t xml:space="preserve">0,00135390</t>
  </si>
  <si>
    <t xml:space="preserve">0,00044650</t>
  </si>
  <si>
    <t xml:space="preserve">0,00141050</t>
  </si>
  <si>
    <t xml:space="preserve">0,00049420</t>
  </si>
  <si>
    <t xml:space="preserve">0,00149960</t>
  </si>
  <si>
    <t xml:space="preserve">0,00053650</t>
  </si>
  <si>
    <t xml:space="preserve">0,00161730</t>
  </si>
  <si>
    <t xml:space="preserve">0,00057750</t>
  </si>
  <si>
    <t xml:space="preserve">0,00174480</t>
  </si>
  <si>
    <t xml:space="preserve">0,00062050</t>
  </si>
  <si>
    <t xml:space="preserve">0,00186890</t>
  </si>
  <si>
    <t xml:space="preserve">0,00066310</t>
  </si>
  <si>
    <t xml:space="preserve">0,00199420</t>
  </si>
  <si>
    <t xml:space="preserve">0,00070440</t>
  </si>
  <si>
    <t xml:space="preserve">0,00211370</t>
  </si>
  <si>
    <t xml:space="preserve">0,00074560</t>
  </si>
  <si>
    <t xml:space="preserve">0,00221280</t>
  </si>
  <si>
    <t xml:space="preserve">0,00079350</t>
  </si>
  <si>
    <t xml:space="preserve">0,00232110</t>
  </si>
  <si>
    <t xml:space="preserve">0,00086050</t>
  </si>
  <si>
    <t xml:space="preserve">0,00244880</t>
  </si>
  <si>
    <t xml:space="preserve">0,00093830</t>
  </si>
  <si>
    <t xml:space="preserve">0,00263910</t>
  </si>
  <si>
    <t xml:space="preserve">0,00101840</t>
  </si>
  <si>
    <t xml:space="preserve">0,00290470</t>
  </si>
  <si>
    <t xml:space="preserve">0,00108610</t>
  </si>
  <si>
    <t xml:space="preserve">0,00324350</t>
  </si>
  <si>
    <t xml:space="preserve">0,00114970</t>
  </si>
  <si>
    <t xml:space="preserve">0,00359540</t>
  </si>
  <si>
    <t xml:space="preserve">0,00122560</t>
  </si>
  <si>
    <t xml:space="preserve">0,00392140</t>
  </si>
  <si>
    <t xml:space="preserve">0,00132690</t>
  </si>
  <si>
    <t xml:space="preserve">0,00423240</t>
  </si>
  <si>
    <t xml:space="preserve">0,00145790</t>
  </si>
  <si>
    <t xml:space="preserve">0,00453410</t>
  </si>
  <si>
    <t xml:space="preserve">0,00161760</t>
  </si>
  <si>
    <t xml:space="preserve">0,00484010</t>
  </si>
  <si>
    <t xml:space="preserve">0,00180660</t>
  </si>
  <si>
    <t xml:space="preserve">0,00518720</t>
  </si>
  <si>
    <t xml:space="preserve">0,00200900</t>
  </si>
  <si>
    <t xml:space="preserve">0,00558200</t>
  </si>
  <si>
    <t xml:space="preserve">0,00219100</t>
  </si>
  <si>
    <t xml:space="preserve">0,00600650</t>
  </si>
  <si>
    <t xml:space="preserve">0,00235090</t>
  </si>
  <si>
    <t xml:space="preserve">0,00638060</t>
  </si>
  <si>
    <t xml:space="preserve">0,00251440</t>
  </si>
  <si>
    <t xml:space="preserve">0,00670150</t>
  </si>
  <si>
    <t xml:space="preserve">0,00271460</t>
  </si>
  <si>
    <t xml:space="preserve">0,00706560</t>
  </si>
  <si>
    <t xml:space="preserve">0,00296290</t>
  </si>
  <si>
    <t xml:space="preserve">0,00756720</t>
  </si>
  <si>
    <t xml:space="preserve">0,00328070</t>
  </si>
  <si>
    <t xml:space="preserve">0,00830980</t>
  </si>
  <si>
    <t xml:space="preserve">0,00372840</t>
  </si>
  <si>
    <t xml:space="preserve">0,00933900</t>
  </si>
  <si>
    <t xml:space="preserve">0,00431890</t>
  </si>
  <si>
    <t xml:space="preserve">0,01064640</t>
  </si>
  <si>
    <t xml:space="preserve">0,00496410</t>
  </si>
  <si>
    <t xml:space="preserve">0,01217260</t>
  </si>
  <si>
    <t xml:space="preserve">0,00556900</t>
  </si>
  <si>
    <t xml:space="preserve">0,01374620</t>
  </si>
  <si>
    <t xml:space="preserve">0,00613860</t>
  </si>
  <si>
    <t xml:space="preserve">0,01525670</t>
  </si>
  <si>
    <t xml:space="preserve">0,00680210</t>
  </si>
  <si>
    <t xml:space="preserve">0,01669920</t>
  </si>
  <si>
    <t xml:space="preserve">0,00769180</t>
  </si>
  <si>
    <t xml:space="preserve">0,01813270</t>
  </si>
  <si>
    <t xml:space="preserve">0,00888350</t>
  </si>
  <si>
    <t xml:space="preserve">0,01966320</t>
  </si>
  <si>
    <t xml:space="preserve">0,01037770</t>
  </si>
  <si>
    <t xml:space="preserve">0,02305440</t>
  </si>
  <si>
    <t xml:space="preserve">0,01306800</t>
  </si>
  <si>
    <t xml:space="preserve">0,02535260</t>
  </si>
  <si>
    <t xml:space="preserve">0,01495830</t>
  </si>
  <si>
    <t xml:space="preserve">0,02788810</t>
  </si>
  <si>
    <t xml:space="preserve">0,01712190</t>
  </si>
  <si>
    <t xml:space="preserve">0,03074160</t>
  </si>
  <si>
    <t xml:space="preserve">0,01959830</t>
  </si>
  <si>
    <t xml:space="preserve">0,03397450</t>
  </si>
  <si>
    <t xml:space="preserve">0,02240120</t>
  </si>
  <si>
    <t xml:space="preserve">0,03759230</t>
  </si>
  <si>
    <t xml:space="preserve">0,02558750</t>
  </si>
  <si>
    <t xml:space="preserve">0,04166600</t>
  </si>
  <si>
    <t xml:space="preserve">0,02924970</t>
  </si>
  <si>
    <t xml:space="preserve">0,04628540</t>
  </si>
  <si>
    <t xml:space="preserve">0,03346490</t>
  </si>
  <si>
    <t xml:space="preserve">0,05152560</t>
  </si>
  <si>
    <t xml:space="preserve">0,03828950</t>
  </si>
  <si>
    <t xml:space="preserve">0,05741250</t>
  </si>
  <si>
    <t xml:space="preserve">0,04375430</t>
  </si>
  <si>
    <t xml:space="preserve">0,06395740</t>
  </si>
  <si>
    <t xml:space="preserve">0,04995650</t>
  </si>
  <si>
    <t xml:space="preserve">0,07124510</t>
  </si>
  <si>
    <t xml:space="preserve">0,05704540</t>
  </si>
  <si>
    <t xml:space="preserve">0,07940170</t>
  </si>
  <si>
    <t xml:space="preserve">0,06518510</t>
  </si>
  <si>
    <t xml:space="preserve">0,08853070</t>
  </si>
  <si>
    <t xml:space="preserve">0,07453030</t>
  </si>
  <si>
    <t xml:space="preserve">0,09868170</t>
  </si>
  <si>
    <t xml:space="preserve">0,08519840</t>
  </si>
  <si>
    <t xml:space="preserve">0,10992450</t>
  </si>
  <si>
    <t xml:space="preserve">0,09733440</t>
  </si>
  <si>
    <t xml:space="preserve">0,12241030</t>
  </si>
  <si>
    <t xml:space="preserve">0,11116740</t>
  </si>
  <si>
    <t xml:space="preserve">0,13632500</t>
  </si>
  <si>
    <t xml:space="preserve">0,12697110</t>
  </si>
  <si>
    <t xml:space="preserve">0,15182000</t>
  </si>
  <si>
    <t xml:space="preserve">0,14500000</t>
  </si>
  <si>
    <t xml:space="preserve">0,16897030</t>
  </si>
  <si>
    <t xml:space="preserve">0,16545200</t>
  </si>
  <si>
    <t xml:space="preserve">0,18787350</t>
  </si>
  <si>
    <t xml:space="preserve">0,18855850</t>
  </si>
  <si>
    <t xml:space="preserve">0,20872850</t>
  </si>
  <si>
    <t xml:space="preserve">0,21464970</t>
  </si>
  <si>
    <t xml:space="preserve">0,23176960</t>
  </si>
  <si>
    <t xml:space="preserve">0,24408690</t>
  </si>
  <si>
    <t xml:space="preserve">0,25717310</t>
  </si>
  <si>
    <t xml:space="preserve">0,27717480</t>
  </si>
  <si>
    <t xml:space="preserve">0,28500890</t>
  </si>
  <si>
    <t xml:space="preserve">0,31412040</t>
  </si>
  <si>
    <t xml:space="preserve">0,31536210</t>
  </si>
  <si>
    <t xml:space="preserve">0,35513280</t>
  </si>
  <si>
    <t xml:space="preserve">0,34841990</t>
  </si>
  <si>
    <t xml:space="preserve">0,40046800</t>
  </si>
  <si>
    <t xml:space="preserve">0,38437810</t>
  </si>
  <si>
    <t xml:space="preserve">0,45032370</t>
  </si>
  <si>
    <t xml:space="preserve">0,42333130</t>
  </si>
  <si>
    <t xml:space="preserve">0,50474940</t>
  </si>
  <si>
    <t xml:space="preserve">0,46523790</t>
  </si>
  <si>
    <t xml:space="preserve">0,56364160</t>
  </si>
  <si>
    <t xml:space="preserve">0,51006080</t>
  </si>
  <si>
    <t xml:space="preserve">0,62682600</t>
  </si>
  <si>
    <t xml:space="preserve">0,55782790</t>
  </si>
  <si>
    <t xml:space="preserve">0,69403350</t>
  </si>
  <si>
    <t xml:space="preserve">0,60852120</t>
  </si>
  <si>
    <t xml:space="preserve">0,76480890</t>
  </si>
  <si>
    <t xml:space="preserve">0,66198780</t>
  </si>
  <si>
    <t xml:space="preserve">0,83851620</t>
  </si>
  <si>
    <t xml:space="preserve">0,71793720</t>
  </si>
  <si>
    <t xml:space="preserve">0,91443780</t>
  </si>
  <si>
    <t xml:space="preserve">Monto Pensión mensual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</si>
</sst>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-* #,##0.00_-;\-* #,##0.00_-;_-* \-??_-;_-@_-"/>
    <numFmt numFmtId="166" formatCode="_-* #,##0_-;\-* #,##0_-;_-* \-??_-;_-@_-"/>
    <numFmt numFmtId="167" formatCode="m/d/yyyy"/>
    <numFmt numFmtId="168" formatCode="mm/dd/yy"/>
    <numFmt numFmtId="169" formatCode="0"/>
    <numFmt numFmtId="170" formatCode="###0_);\(###0\);_-* \-_-;@_)"/>
    <numFmt numFmtId="171" formatCode="#,##0_);\(#,##0\);_-* \-_-"/>
    <numFmt numFmtId="172" formatCode="m/d/yy"/>
    <numFmt numFmtId="173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FFFFFF"/>
      <name val="Arial"/>
      <family val="2"/>
      <charset val="1"/>
    </font>
    <font>
      <sz val="8"/>
      <color rgb="FF2E2E38"/>
      <name val="Arial"/>
      <family val="2"/>
      <charset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E2E38"/>
        <bgColor rgb="FF333300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D9D9D9"/>
      </top>
      <bottom/>
      <diagonal/>
    </border>
    <border diagonalUp="false" diagonalDown="false">
      <left/>
      <right/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4" fillId="2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5" fillId="3" borderId="1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5" fillId="3" borderId="2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5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5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3" borderId="1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2E2E38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2E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5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E1" activeCellId="0" sqref="E1"/>
    </sheetView>
  </sheetViews>
  <sheetFormatPr defaultColWidth="8.4765625" defaultRowHeight="14.25" customHeight="false" zeroHeight="false" outlineLevelRow="0" outlineLevelCol="0"/>
  <cols>
    <col collapsed="false" customWidth="true" hidden="false" outlineLevel="0" max="1" min="1" style="0" width="4.9"/>
    <col collapsed="false" customWidth="true" hidden="false" outlineLevel="0" max="2" min="2" style="1" width="12.27"/>
    <col collapsed="false" customWidth="true" hidden="false" outlineLevel="0" max="3" min="3" style="2" width="15.73"/>
    <col collapsed="false" customWidth="true" hidden="false" outlineLevel="0" max="4" min="4" style="0" width="8.27"/>
    <col collapsed="false" customWidth="true" hidden="false" outlineLevel="0" max="5" min="5" style="3" width="15.73"/>
    <col collapsed="false" customWidth="false" hidden="false" outlineLevel="0" max="6" min="6" style="4" width="8.48"/>
    <col collapsed="false" customWidth="true" hidden="false" outlineLevel="0" max="7" min="7" style="0" width="19.39"/>
    <col collapsed="false" customWidth="true" hidden="false" outlineLevel="0" max="8" min="8" style="0" width="28.18"/>
    <col collapsed="false" customWidth="true" hidden="false" outlineLevel="0" max="9" min="9" style="0" width="25.03"/>
  </cols>
  <sheetData>
    <row r="1" customFormat="false" ht="13.5" hidden="false" customHeight="true" outlineLevel="0" collapsed="false">
      <c r="A1" s="5" t="s">
        <v>0</v>
      </c>
      <c r="B1" s="6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customFormat="false" ht="13.5" hidden="false" customHeight="true" outlineLevel="0" collapsed="false">
      <c r="A2" s="11" t="n">
        <v>1</v>
      </c>
      <c r="B2" s="12" t="n">
        <v>725402</v>
      </c>
      <c r="C2" s="13" t="n">
        <v>39510</v>
      </c>
      <c r="D2" s="14" t="s">
        <v>9</v>
      </c>
      <c r="E2" s="15" t="n">
        <v>28932</v>
      </c>
      <c r="F2" s="16" t="n">
        <f aca="false">DATEDIF(E2, "12/31/2025", "Y")</f>
        <v>46</v>
      </c>
      <c r="G2" s="16" t="n">
        <f aca="false">DATEDIF(C2, "12/31/2025", "Y")</f>
        <v>17</v>
      </c>
      <c r="H2" s="17" t="n">
        <f aca="false">_xlfn.IFS( G2&lt;10, 0, G2&lt;20, 0.45, G2&lt;30, 0.65, G2&lt;40, 0.85, G2&gt;=40, 1 )</f>
        <v>0.45</v>
      </c>
      <c r="I2" s="18" t="n">
        <f aca="false">_xlfn.IFS( G2&lt;10, 1, G2&lt;20, 2, G2&lt;30, 3, G2&lt;40, 4, G2&gt;=40, 5 )</f>
        <v>2</v>
      </c>
    </row>
    <row r="3" customFormat="false" ht="13.5" hidden="false" customHeight="true" outlineLevel="0" collapsed="false">
      <c r="A3" s="11" t="n">
        <f aca="false">+A2+1</f>
        <v>2</v>
      </c>
      <c r="B3" s="12" t="n">
        <v>653642</v>
      </c>
      <c r="C3" s="13" t="n">
        <v>39027</v>
      </c>
      <c r="D3" s="14" t="s">
        <v>9</v>
      </c>
      <c r="E3" s="19" t="n">
        <v>30404</v>
      </c>
      <c r="F3" s="16" t="n">
        <f aca="false">DATEDIF(E3, "12/31/2025", "Y")</f>
        <v>42</v>
      </c>
      <c r="G3" s="16" t="n">
        <f aca="false">DATEDIF(C3, "12/31/2025", "Y")</f>
        <v>19</v>
      </c>
      <c r="H3" s="17" t="n">
        <f aca="false">_xlfn.IFS( G3&lt;10, 0, G3&lt;20, 0.45, G3&lt;30, 0.65, G3&lt;40, 0.85, G3&gt;=40, 1 )</f>
        <v>0.45</v>
      </c>
      <c r="I3" s="18" t="n">
        <f aca="false">_xlfn.IFS( G3&lt;10, 1, G3&lt;20, 2, G3&lt;30, 3, G3&lt;40, 4, G3&gt;=40, 5 )</f>
        <v>2</v>
      </c>
    </row>
    <row r="4" customFormat="false" ht="13.5" hidden="false" customHeight="true" outlineLevel="0" collapsed="false">
      <c r="A4" s="11" t="n">
        <f aca="false">+A3+1</f>
        <v>3</v>
      </c>
      <c r="B4" s="20" t="n">
        <v>663199.5</v>
      </c>
      <c r="C4" s="21" t="n">
        <v>44562</v>
      </c>
      <c r="D4" s="22" t="s">
        <v>9</v>
      </c>
      <c r="E4" s="23" t="n">
        <v>24772</v>
      </c>
      <c r="F4" s="16" t="n">
        <f aca="false">DATEDIF(E4, "12/31/2025", "Y")</f>
        <v>58</v>
      </c>
      <c r="G4" s="16" t="n">
        <f aca="false">DATEDIF(C4, "12/31/2025", "Y")</f>
        <v>3</v>
      </c>
      <c r="H4" s="17" t="n">
        <f aca="false">_xlfn.IFS( G4&lt;10, 0, G4&lt;20, 0.45, G4&lt;30, 0.65, G4&lt;40, 0.85, G4&gt;=40, 1 )</f>
        <v>0</v>
      </c>
      <c r="I4" s="18" t="n">
        <f aca="false">_xlfn.IFS( G4&lt;10, 1, G4&lt;20, 2, G4&lt;30, 3, G4&lt;40, 4, G4&gt;=40, 5 )</f>
        <v>1</v>
      </c>
    </row>
    <row r="5" customFormat="false" ht="13.5" hidden="false" customHeight="true" outlineLevel="0" collapsed="false">
      <c r="A5" s="11" t="n">
        <f aca="false">+A4+1</f>
        <v>4</v>
      </c>
      <c r="B5" s="20" t="n">
        <v>3016189.9</v>
      </c>
      <c r="C5" s="21" t="n">
        <v>44593</v>
      </c>
      <c r="D5" s="22" t="s">
        <v>9</v>
      </c>
      <c r="E5" s="23" t="n">
        <v>31776</v>
      </c>
      <c r="F5" s="16" t="n">
        <f aca="false">DATEDIF(E5, "12/31/2025", "Y")</f>
        <v>39</v>
      </c>
      <c r="G5" s="16" t="n">
        <f aca="false">DATEDIF(C5, "12/31/2025", "Y")</f>
        <v>3</v>
      </c>
      <c r="H5" s="17" t="n">
        <f aca="false">_xlfn.IFS( G5&lt;10, 0, G5&lt;20, 0.45, G5&lt;30, 0.65, G5&lt;40, 0.85, G5&gt;=40, 1 )</f>
        <v>0</v>
      </c>
      <c r="I5" s="18" t="n">
        <f aca="false">_xlfn.IFS( G5&lt;10, 1, G5&lt;20, 2, G5&lt;30, 3, G5&lt;40, 4, G5&gt;=40, 5 )</f>
        <v>1</v>
      </c>
    </row>
    <row r="6" customFormat="false" ht="13.5" hidden="false" customHeight="true" outlineLevel="0" collapsed="false">
      <c r="A6" s="11" t="n">
        <f aca="false">+A5+1</f>
        <v>5</v>
      </c>
      <c r="B6" s="20" t="n">
        <v>747392</v>
      </c>
      <c r="C6" s="21" t="n">
        <v>36773</v>
      </c>
      <c r="D6" s="22" t="s">
        <v>10</v>
      </c>
      <c r="E6" s="23" t="n">
        <v>29791</v>
      </c>
      <c r="F6" s="16" t="n">
        <f aca="false">DATEDIF(E6, "12/31/2025", "Y")</f>
        <v>44</v>
      </c>
      <c r="G6" s="16" t="n">
        <f aca="false">DATEDIF(C6, "12/31/2025", "Y")</f>
        <v>25</v>
      </c>
      <c r="H6" s="17" t="n">
        <f aca="false">_xlfn.IFS( G6&lt;10, 0, G6&lt;20, 0.45, G6&lt;30, 0.65, G6&lt;40, 0.85, G6&gt;=40, 1 )</f>
        <v>0.65</v>
      </c>
      <c r="I6" s="18" t="n">
        <f aca="false">_xlfn.IFS( G6&lt;10, 1, G6&lt;20, 2, G6&lt;30, 3, G6&lt;40, 4, G6&gt;=40, 5 )</f>
        <v>3</v>
      </c>
    </row>
    <row r="7" customFormat="false" ht="13.5" hidden="false" customHeight="true" outlineLevel="0" collapsed="false">
      <c r="A7" s="11" t="n">
        <f aca="false">+A6+1</f>
        <v>6</v>
      </c>
      <c r="B7" s="20" t="n">
        <v>606280</v>
      </c>
      <c r="C7" s="21" t="n">
        <v>43920</v>
      </c>
      <c r="D7" s="22" t="s">
        <v>10</v>
      </c>
      <c r="E7" s="23" t="n">
        <v>23299</v>
      </c>
      <c r="F7" s="16" t="n">
        <f aca="false">DATEDIF(E7, "12/31/2025", "Y")</f>
        <v>62</v>
      </c>
      <c r="G7" s="16" t="n">
        <f aca="false">DATEDIF(C7, "12/31/2025", "Y")</f>
        <v>5</v>
      </c>
      <c r="H7" s="17" t="n">
        <f aca="false">_xlfn.IFS( G7&lt;10, 0, G7&lt;20, 0.45, G7&lt;30, 0.65, G7&lt;40, 0.85, G7&gt;=40, 1 )</f>
        <v>0</v>
      </c>
      <c r="I7" s="18" t="n">
        <f aca="false">_xlfn.IFS( G7&lt;10, 1, G7&lt;20, 2, G7&lt;30, 3, G7&lt;40, 4, G7&gt;=40, 5 )</f>
        <v>1</v>
      </c>
    </row>
    <row r="8" customFormat="false" ht="13.5" hidden="false" customHeight="true" outlineLevel="0" collapsed="false">
      <c r="A8" s="11" t="n">
        <f aca="false">+A7+1</f>
        <v>7</v>
      </c>
      <c r="B8" s="20" t="n">
        <v>102495.4</v>
      </c>
      <c r="C8" s="21" t="n">
        <v>35681</v>
      </c>
      <c r="D8" s="22" t="s">
        <v>9</v>
      </c>
      <c r="E8" s="23" t="n">
        <v>25944</v>
      </c>
      <c r="F8" s="16" t="n">
        <f aca="false">DATEDIF(E8, "12/31/2025", "Y")</f>
        <v>54</v>
      </c>
      <c r="G8" s="16" t="n">
        <f aca="false">DATEDIF(C8, "12/31/2025", "Y")</f>
        <v>28</v>
      </c>
      <c r="H8" s="17" t="n">
        <f aca="false">_xlfn.IFS( G8&lt;10, 0, G8&lt;20, 0.45, G8&lt;30, 0.65, G8&lt;40, 0.85, G8&gt;=40, 1 )</f>
        <v>0.65</v>
      </c>
      <c r="I8" s="18" t="n">
        <f aca="false">_xlfn.IFS( G8&lt;10, 1, G8&lt;20, 2, G8&lt;30, 3, G8&lt;40, 4, G8&gt;=40, 5 )</f>
        <v>3</v>
      </c>
    </row>
    <row r="9" customFormat="false" ht="13.5" hidden="false" customHeight="true" outlineLevel="0" collapsed="false">
      <c r="A9" s="11" t="n">
        <f aca="false">+A8+1</f>
        <v>8</v>
      </c>
      <c r="B9" s="20" t="n">
        <v>594545</v>
      </c>
      <c r="C9" s="21" t="n">
        <v>40148</v>
      </c>
      <c r="D9" s="22" t="s">
        <v>9</v>
      </c>
      <c r="E9" s="23" t="n">
        <v>31751</v>
      </c>
      <c r="F9" s="16" t="n">
        <f aca="false">DATEDIF(E9, "12/31/2025", "Y")</f>
        <v>39</v>
      </c>
      <c r="G9" s="16" t="n">
        <f aca="false">DATEDIF(C9, "12/31/2025", "Y")</f>
        <v>16</v>
      </c>
      <c r="H9" s="17" t="n">
        <f aca="false">_xlfn.IFS( G9&lt;10, 0, G9&lt;20, 0.45, G9&lt;30, 0.65, G9&lt;40, 0.85, G9&gt;=40, 1 )</f>
        <v>0.45</v>
      </c>
      <c r="I9" s="18" t="n">
        <f aca="false">_xlfn.IFS( G9&lt;10, 1, G9&lt;20, 2, G9&lt;30, 3, G9&lt;40, 4, G9&gt;=40, 5 )</f>
        <v>2</v>
      </c>
    </row>
    <row r="10" customFormat="false" ht="13.5" hidden="false" customHeight="true" outlineLevel="0" collapsed="false">
      <c r="A10" s="11" t="n">
        <f aca="false">+A9+1</f>
        <v>9</v>
      </c>
      <c r="B10" s="20" t="n">
        <v>791356</v>
      </c>
      <c r="C10" s="21" t="n">
        <v>38908</v>
      </c>
      <c r="D10" s="22" t="s">
        <v>9</v>
      </c>
      <c r="E10" s="23" t="n">
        <v>29808</v>
      </c>
      <c r="F10" s="16" t="n">
        <f aca="false">DATEDIF(E10, "12/31/2025", "Y")</f>
        <v>44</v>
      </c>
      <c r="G10" s="16" t="n">
        <f aca="false">DATEDIF(C10, "12/31/2025", "Y")</f>
        <v>19</v>
      </c>
      <c r="H10" s="17" t="n">
        <f aca="false">_xlfn.IFS( G10&lt;10, 0, G10&lt;20, 0.45, G10&lt;30, 0.65, G10&lt;40, 0.85, G10&gt;=40, 1 )</f>
        <v>0.45</v>
      </c>
      <c r="I10" s="18" t="n">
        <f aca="false">_xlfn.IFS( G10&lt;10, 1, G10&lt;20, 2, G10&lt;30, 3, G10&lt;40, 4, G10&gt;=40, 5 )</f>
        <v>2</v>
      </c>
    </row>
    <row r="11" customFormat="false" ht="13.5" hidden="false" customHeight="true" outlineLevel="0" collapsed="false">
      <c r="A11" s="11" t="n">
        <f aca="false">+A10+1</f>
        <v>10</v>
      </c>
      <c r="B11" s="20" t="n">
        <v>732344.5</v>
      </c>
      <c r="C11" s="21" t="n">
        <v>43641</v>
      </c>
      <c r="D11" s="22" t="s">
        <v>9</v>
      </c>
      <c r="E11" s="23" t="n">
        <v>30743</v>
      </c>
      <c r="F11" s="16" t="n">
        <f aca="false">DATEDIF(E11, "12/31/2025", "Y")</f>
        <v>41</v>
      </c>
      <c r="G11" s="16" t="n">
        <f aca="false">DATEDIF(C11, "12/31/2025", "Y")</f>
        <v>6</v>
      </c>
      <c r="H11" s="17" t="n">
        <f aca="false">_xlfn.IFS( G11&lt;10, 0, G11&lt;20, 0.45, G11&lt;30, 0.65, G11&lt;40, 0.85, G11&gt;=40, 1 )</f>
        <v>0</v>
      </c>
      <c r="I11" s="18" t="n">
        <f aca="false">_xlfn.IFS( G11&lt;10, 1, G11&lt;20, 2, G11&lt;30, 3, G11&lt;40, 4, G11&gt;=40, 5 )</f>
        <v>1</v>
      </c>
    </row>
    <row r="12" customFormat="false" ht="13.5" hidden="false" customHeight="true" outlineLevel="0" collapsed="false">
      <c r="A12" s="11" t="n">
        <f aca="false">+A11+1</f>
        <v>11</v>
      </c>
      <c r="B12" s="20" t="n">
        <v>930533.5</v>
      </c>
      <c r="C12" s="21" t="n">
        <v>39083</v>
      </c>
      <c r="D12" s="22" t="s">
        <v>9</v>
      </c>
      <c r="E12" s="23" t="n">
        <v>30552</v>
      </c>
      <c r="F12" s="16" t="n">
        <f aca="false">DATEDIF(E12, "12/31/2025", "Y")</f>
        <v>42</v>
      </c>
      <c r="G12" s="16" t="n">
        <f aca="false">DATEDIF(C12, "12/31/2025", "Y")</f>
        <v>18</v>
      </c>
      <c r="H12" s="17" t="n">
        <f aca="false">_xlfn.IFS( G12&lt;10, 0, G12&lt;20, 0.45, G12&lt;30, 0.65, G12&lt;40, 0.85, G12&gt;=40, 1 )</f>
        <v>0.45</v>
      </c>
      <c r="I12" s="18" t="n">
        <f aca="false">_xlfn.IFS( G12&lt;10, 1, G12&lt;20, 2, G12&lt;30, 3, G12&lt;40, 4, G12&gt;=40, 5 )</f>
        <v>2</v>
      </c>
    </row>
    <row r="13" customFormat="false" ht="13.5" hidden="false" customHeight="true" outlineLevel="0" collapsed="false">
      <c r="A13" s="11" t="n">
        <f aca="false">+A12+1</f>
        <v>12</v>
      </c>
      <c r="B13" s="20" t="n">
        <v>2369743.25</v>
      </c>
      <c r="C13" s="21" t="n">
        <v>37681</v>
      </c>
      <c r="D13" s="22" t="s">
        <v>9</v>
      </c>
      <c r="E13" s="23" t="n">
        <v>25394</v>
      </c>
      <c r="F13" s="16" t="n">
        <f aca="false">DATEDIF(E13, "12/31/2025", "Y")</f>
        <v>56</v>
      </c>
      <c r="G13" s="16" t="n">
        <f aca="false">DATEDIF(C13, "12/31/2025", "Y")</f>
        <v>22</v>
      </c>
      <c r="H13" s="17" t="n">
        <f aca="false">_xlfn.IFS( G13&lt;10, 0, G13&lt;20, 0.45, G13&lt;30, 0.65, G13&lt;40, 0.85, G13&gt;=40, 1 )</f>
        <v>0.65</v>
      </c>
      <c r="I13" s="18" t="n">
        <f aca="false">_xlfn.IFS( G13&lt;10, 1, G13&lt;20, 2, G13&lt;30, 3, G13&lt;40, 4, G13&gt;=40, 5 )</f>
        <v>3</v>
      </c>
    </row>
    <row r="14" customFormat="false" ht="13.5" hidden="false" customHeight="true" outlineLevel="0" collapsed="false">
      <c r="A14" s="11" t="n">
        <f aca="false">+A13+1</f>
        <v>13</v>
      </c>
      <c r="B14" s="20" t="n">
        <v>705894</v>
      </c>
      <c r="C14" s="21" t="n">
        <v>40562</v>
      </c>
      <c r="D14" s="22" t="s">
        <v>9</v>
      </c>
      <c r="E14" s="23" t="n">
        <v>30193</v>
      </c>
      <c r="F14" s="16" t="n">
        <f aca="false">DATEDIF(E14, "12/31/2025", "Y")</f>
        <v>43</v>
      </c>
      <c r="G14" s="16" t="n">
        <f aca="false">DATEDIF(C14, "12/31/2025", "Y")</f>
        <v>14</v>
      </c>
      <c r="H14" s="17" t="n">
        <f aca="false">_xlfn.IFS( G14&lt;10, 0, G14&lt;20, 0.45, G14&lt;30, 0.65, G14&lt;40, 0.85, G14&gt;=40, 1 )</f>
        <v>0.45</v>
      </c>
      <c r="I14" s="18" t="n">
        <f aca="false">_xlfn.IFS( G14&lt;10, 1, G14&lt;20, 2, G14&lt;30, 3, G14&lt;40, 4, G14&gt;=40, 5 )</f>
        <v>2</v>
      </c>
    </row>
    <row r="15" customFormat="false" ht="13.5" hidden="false" customHeight="true" outlineLevel="0" collapsed="false">
      <c r="A15" s="11" t="n">
        <f aca="false">+A14+1</f>
        <v>14</v>
      </c>
      <c r="B15" s="20" t="n">
        <v>668902.3</v>
      </c>
      <c r="C15" s="21" t="n">
        <v>40865</v>
      </c>
      <c r="D15" s="22" t="s">
        <v>9</v>
      </c>
      <c r="E15" s="23" t="n">
        <v>32868</v>
      </c>
      <c r="F15" s="16" t="n">
        <f aca="false">DATEDIF(E15, "12/31/2025", "Y")</f>
        <v>36</v>
      </c>
      <c r="G15" s="16" t="n">
        <f aca="false">DATEDIF(C15, "12/31/2025", "Y")</f>
        <v>14</v>
      </c>
      <c r="H15" s="17" t="n">
        <f aca="false">_xlfn.IFS( G15&lt;10, 0, G15&lt;20, 0.45, G15&lt;30, 0.65, G15&lt;40, 0.85, G15&gt;=40, 1 )</f>
        <v>0.45</v>
      </c>
      <c r="I15" s="18" t="n">
        <f aca="false">_xlfn.IFS( G15&lt;10, 1, G15&lt;20, 2, G15&lt;30, 3, G15&lt;40, 4, G15&gt;=40, 5 )</f>
        <v>2</v>
      </c>
    </row>
    <row r="16" customFormat="false" ht="13.5" hidden="false" customHeight="true" outlineLevel="0" collapsed="false">
      <c r="A16" s="11" t="n">
        <f aca="false">+A15+1</f>
        <v>15</v>
      </c>
      <c r="B16" s="20" t="n">
        <v>1580039</v>
      </c>
      <c r="C16" s="21" t="n">
        <v>40878</v>
      </c>
      <c r="D16" s="22" t="s">
        <v>9</v>
      </c>
      <c r="E16" s="23" t="n">
        <v>31047</v>
      </c>
      <c r="F16" s="16" t="n">
        <f aca="false">DATEDIF(E16, "12/31/2025", "Y")</f>
        <v>41</v>
      </c>
      <c r="G16" s="16" t="n">
        <f aca="false">DATEDIF(C16, "12/31/2025", "Y")</f>
        <v>14</v>
      </c>
      <c r="H16" s="17" t="n">
        <f aca="false">_xlfn.IFS( G16&lt;10, 0, G16&lt;20, 0.45, G16&lt;30, 0.65, G16&lt;40, 0.85, G16&gt;=40, 1 )</f>
        <v>0.45</v>
      </c>
      <c r="I16" s="18" t="n">
        <f aca="false">_xlfn.IFS( G16&lt;10, 1, G16&lt;20, 2, G16&lt;30, 3, G16&lt;40, 4, G16&gt;=40, 5 )</f>
        <v>2</v>
      </c>
    </row>
    <row r="17" customFormat="false" ht="13.5" hidden="false" customHeight="true" outlineLevel="0" collapsed="false">
      <c r="A17" s="11" t="n">
        <f aca="false">+A16+1</f>
        <v>16</v>
      </c>
      <c r="B17" s="20" t="n">
        <v>390108.34</v>
      </c>
      <c r="C17" s="21" t="n">
        <v>40938</v>
      </c>
      <c r="D17" s="22" t="s">
        <v>9</v>
      </c>
      <c r="E17" s="23" t="n">
        <v>29047</v>
      </c>
      <c r="F17" s="16" t="n">
        <f aca="false">DATEDIF(E17, "12/31/2025", "Y")</f>
        <v>46</v>
      </c>
      <c r="G17" s="16" t="n">
        <f aca="false">DATEDIF(C17, "12/31/2025", "Y")</f>
        <v>13</v>
      </c>
      <c r="H17" s="17" t="n">
        <f aca="false">_xlfn.IFS( G17&lt;10, 0, G17&lt;20, 0.45, G17&lt;30, 0.65, G17&lt;40, 0.85, G17&gt;=40, 1 )</f>
        <v>0.45</v>
      </c>
      <c r="I17" s="18" t="n">
        <f aca="false">_xlfn.IFS( G17&lt;10, 1, G17&lt;20, 2, G17&lt;30, 3, G17&lt;40, 4, G17&gt;=40, 5 )</f>
        <v>2</v>
      </c>
    </row>
    <row r="18" customFormat="false" ht="13.5" hidden="false" customHeight="true" outlineLevel="0" collapsed="false">
      <c r="A18" s="11" t="n">
        <f aca="false">+A17+1</f>
        <v>17</v>
      </c>
      <c r="B18" s="20" t="n">
        <v>1652808.8</v>
      </c>
      <c r="C18" s="21" t="n">
        <v>41064</v>
      </c>
      <c r="D18" s="22" t="s">
        <v>9</v>
      </c>
      <c r="E18" s="23" t="n">
        <v>29283</v>
      </c>
      <c r="F18" s="16" t="n">
        <f aca="false">DATEDIF(E18, "12/31/2025", "Y")</f>
        <v>45</v>
      </c>
      <c r="G18" s="16" t="n">
        <f aca="false">DATEDIF(C18, "12/31/2025", "Y")</f>
        <v>13</v>
      </c>
      <c r="H18" s="17" t="n">
        <f aca="false">_xlfn.IFS( G18&lt;10, 0, G18&lt;20, 0.45, G18&lt;30, 0.65, G18&lt;40, 0.85, G18&gt;=40, 1 )</f>
        <v>0.45</v>
      </c>
      <c r="I18" s="18" t="n">
        <f aca="false">_xlfn.IFS( G18&lt;10, 1, G18&lt;20, 2, G18&lt;30, 3, G18&lt;40, 4, G18&gt;=40, 5 )</f>
        <v>2</v>
      </c>
    </row>
    <row r="19" customFormat="false" ht="13.5" hidden="false" customHeight="true" outlineLevel="0" collapsed="false">
      <c r="A19" s="11" t="n">
        <f aca="false">+A18+1</f>
        <v>18</v>
      </c>
      <c r="B19" s="20" t="n">
        <v>108080.75</v>
      </c>
      <c r="C19" s="21" t="n">
        <v>41074</v>
      </c>
      <c r="D19" s="22" t="s">
        <v>10</v>
      </c>
      <c r="E19" s="23" t="n">
        <v>31991</v>
      </c>
      <c r="F19" s="16" t="n">
        <f aca="false">DATEDIF(E19, "12/31/2025", "Y")</f>
        <v>38</v>
      </c>
      <c r="G19" s="16" t="n">
        <f aca="false">DATEDIF(C19, "12/31/2025", "Y")</f>
        <v>13</v>
      </c>
      <c r="H19" s="17" t="n">
        <f aca="false">_xlfn.IFS( G19&lt;10, 0, G19&lt;20, 0.45, G19&lt;30, 0.65, G19&lt;40, 0.85, G19&gt;=40, 1 )</f>
        <v>0.45</v>
      </c>
      <c r="I19" s="18" t="n">
        <f aca="false">_xlfn.IFS( G19&lt;10, 1, G19&lt;20, 2, G19&lt;30, 3, G19&lt;40, 4, G19&gt;=40, 5 )</f>
        <v>2</v>
      </c>
    </row>
    <row r="20" customFormat="false" ht="13.5" hidden="false" customHeight="true" outlineLevel="0" collapsed="false">
      <c r="A20" s="11" t="n">
        <f aca="false">+A19+1</f>
        <v>19</v>
      </c>
      <c r="B20" s="20" t="n">
        <v>808180</v>
      </c>
      <c r="C20" s="21" t="n">
        <v>41091</v>
      </c>
      <c r="D20" s="22" t="s">
        <v>9</v>
      </c>
      <c r="E20" s="23" t="n">
        <v>32954</v>
      </c>
      <c r="F20" s="16" t="n">
        <f aca="false">DATEDIF(E20, "12/31/2025", "Y")</f>
        <v>35</v>
      </c>
      <c r="G20" s="16" t="n">
        <f aca="false">DATEDIF(C20, "12/31/2025", "Y")</f>
        <v>13</v>
      </c>
      <c r="H20" s="17" t="n">
        <f aca="false">_xlfn.IFS( G20&lt;10, 0, G20&lt;20, 0.45, G20&lt;30, 0.65, G20&lt;40, 0.85, G20&gt;=40, 1 )</f>
        <v>0.45</v>
      </c>
      <c r="I20" s="18" t="n">
        <f aca="false">_xlfn.IFS( G20&lt;10, 1, G20&lt;20, 2, G20&lt;30, 3, G20&lt;40, 4, G20&gt;=40, 5 )</f>
        <v>2</v>
      </c>
    </row>
    <row r="21" customFormat="false" ht="13.5" hidden="false" customHeight="true" outlineLevel="0" collapsed="false">
      <c r="A21" s="11" t="n">
        <f aca="false">+A20+1</f>
        <v>20</v>
      </c>
      <c r="B21" s="20" t="n">
        <v>1535903.6</v>
      </c>
      <c r="C21" s="21" t="n">
        <v>42772</v>
      </c>
      <c r="D21" s="22" t="s">
        <v>10</v>
      </c>
      <c r="E21" s="23" t="n">
        <v>33261</v>
      </c>
      <c r="F21" s="16" t="n">
        <f aca="false">DATEDIF(E21, "12/31/2025", "Y")</f>
        <v>34</v>
      </c>
      <c r="G21" s="16" t="n">
        <f aca="false">DATEDIF(C21, "12/31/2025", "Y")</f>
        <v>8</v>
      </c>
      <c r="H21" s="17" t="n">
        <f aca="false">_xlfn.IFS( G21&lt;10, 0, G21&lt;20, 0.45, G21&lt;30, 0.65, G21&lt;40, 0.85, G21&gt;=40, 1 )</f>
        <v>0</v>
      </c>
      <c r="I21" s="18" t="n">
        <f aca="false">_xlfn.IFS( G21&lt;10, 1, G21&lt;20, 2, G21&lt;30, 3, G21&lt;40, 4, G21&gt;=40, 5 )</f>
        <v>1</v>
      </c>
    </row>
    <row r="22" customFormat="false" ht="13.5" hidden="false" customHeight="true" outlineLevel="0" collapsed="false">
      <c r="A22" s="11" t="n">
        <f aca="false">+A21+1</f>
        <v>21</v>
      </c>
      <c r="B22" s="20" t="n">
        <v>9025.61</v>
      </c>
      <c r="C22" s="21" t="n">
        <v>41290</v>
      </c>
      <c r="D22" s="22" t="s">
        <v>9</v>
      </c>
      <c r="E22" s="23" t="n">
        <v>32357</v>
      </c>
      <c r="F22" s="16" t="n">
        <f aca="false">DATEDIF(E22, "12/31/2025", "Y")</f>
        <v>37</v>
      </c>
      <c r="G22" s="16" t="n">
        <f aca="false">DATEDIF(C22, "12/31/2025", "Y")</f>
        <v>12</v>
      </c>
      <c r="H22" s="17" t="n">
        <f aca="false">_xlfn.IFS( G22&lt;10, 0, G22&lt;20, 0.45, G22&lt;30, 0.65, G22&lt;40, 0.85, G22&gt;=40, 1 )</f>
        <v>0.45</v>
      </c>
      <c r="I22" s="18" t="n">
        <f aca="false">_xlfn.IFS( G22&lt;10, 1, G22&lt;20, 2, G22&lt;30, 3, G22&lt;40, 4, G22&gt;=40, 5 )</f>
        <v>2</v>
      </c>
    </row>
    <row r="23" customFormat="false" ht="13.5" hidden="false" customHeight="true" outlineLevel="0" collapsed="false">
      <c r="A23" s="11" t="n">
        <f aca="false">+A22+1</f>
        <v>22</v>
      </c>
      <c r="B23" s="20" t="n">
        <v>660028</v>
      </c>
      <c r="C23" s="21" t="n">
        <v>41302</v>
      </c>
      <c r="D23" s="22" t="s">
        <v>10</v>
      </c>
      <c r="E23" s="23" t="n">
        <v>34628</v>
      </c>
      <c r="F23" s="16" t="n">
        <f aca="false">DATEDIF(E23, "12/31/2025", "Y")</f>
        <v>31</v>
      </c>
      <c r="G23" s="16" t="n">
        <f aca="false">DATEDIF(C23, "12/31/2025", "Y")</f>
        <v>12</v>
      </c>
      <c r="H23" s="17" t="n">
        <f aca="false">_xlfn.IFS( G23&lt;10, 0, G23&lt;20, 0.45, G23&lt;30, 0.65, G23&lt;40, 0.85, G23&gt;=40, 1 )</f>
        <v>0.45</v>
      </c>
      <c r="I23" s="18" t="n">
        <f aca="false">_xlfn.IFS( G23&lt;10, 1, G23&lt;20, 2, G23&lt;30, 3, G23&lt;40, 4, G23&gt;=40, 5 )</f>
        <v>2</v>
      </c>
    </row>
    <row r="24" customFormat="false" ht="13.5" hidden="false" customHeight="true" outlineLevel="0" collapsed="false">
      <c r="A24" s="11" t="n">
        <f aca="false">+A23+1</f>
        <v>23</v>
      </c>
      <c r="B24" s="20" t="n">
        <v>2122756.8</v>
      </c>
      <c r="C24" s="21" t="n">
        <v>41316</v>
      </c>
      <c r="D24" s="22" t="s">
        <v>9</v>
      </c>
      <c r="E24" s="23" t="n">
        <v>32746</v>
      </c>
      <c r="F24" s="16" t="n">
        <f aca="false">DATEDIF(E24, "12/31/2025", "Y")</f>
        <v>36</v>
      </c>
      <c r="G24" s="16" t="n">
        <f aca="false">DATEDIF(C24, "12/31/2025", "Y")</f>
        <v>12</v>
      </c>
      <c r="H24" s="17" t="n">
        <f aca="false">_xlfn.IFS( G24&lt;10, 0, G24&lt;20, 0.45, G24&lt;30, 0.65, G24&lt;40, 0.85, G24&gt;=40, 1 )</f>
        <v>0.45</v>
      </c>
      <c r="I24" s="18" t="n">
        <f aca="false">_xlfn.IFS( G24&lt;10, 1, G24&lt;20, 2, G24&lt;30, 3, G24&lt;40, 4, G24&gt;=40, 5 )</f>
        <v>2</v>
      </c>
    </row>
    <row r="25" customFormat="false" ht="13.5" hidden="false" customHeight="true" outlineLevel="0" collapsed="false">
      <c r="A25" s="11" t="n">
        <f aca="false">+A24+1</f>
        <v>24</v>
      </c>
      <c r="B25" s="20" t="n">
        <v>697908.55</v>
      </c>
      <c r="C25" s="21" t="n">
        <v>41344</v>
      </c>
      <c r="D25" s="22" t="s">
        <v>10</v>
      </c>
      <c r="E25" s="23" t="n">
        <v>28197</v>
      </c>
      <c r="F25" s="16" t="n">
        <f aca="false">DATEDIF(E25, "12/31/2025", "Y")</f>
        <v>48</v>
      </c>
      <c r="G25" s="16" t="n">
        <f aca="false">DATEDIF(C25, "12/31/2025", "Y")</f>
        <v>12</v>
      </c>
      <c r="H25" s="17" t="n">
        <f aca="false">_xlfn.IFS( G25&lt;10, 0, G25&lt;20, 0.45, G25&lt;30, 0.65, G25&lt;40, 0.85, G25&gt;=40, 1 )</f>
        <v>0.45</v>
      </c>
      <c r="I25" s="18" t="n">
        <f aca="false">_xlfn.IFS( G25&lt;10, 1, G25&lt;20, 2, G25&lt;30, 3, G25&lt;40, 4, G25&gt;=40, 5 )</f>
        <v>2</v>
      </c>
    </row>
    <row r="26" customFormat="false" ht="13.5" hidden="false" customHeight="true" outlineLevel="0" collapsed="false">
      <c r="A26" s="11" t="n">
        <f aca="false">+A25+1</f>
        <v>25</v>
      </c>
      <c r="B26" s="20" t="n">
        <v>737174.1</v>
      </c>
      <c r="C26" s="21" t="n">
        <v>41369</v>
      </c>
      <c r="D26" s="22" t="s">
        <v>9</v>
      </c>
      <c r="E26" s="23" t="n">
        <v>27663</v>
      </c>
      <c r="F26" s="16" t="n">
        <f aca="false">DATEDIF(E26, "12/31/2025", "Y")</f>
        <v>50</v>
      </c>
      <c r="G26" s="16" t="n">
        <f aca="false">DATEDIF(C26, "12/31/2025", "Y")</f>
        <v>12</v>
      </c>
      <c r="H26" s="17" t="n">
        <f aca="false">_xlfn.IFS( G26&lt;10, 0, G26&lt;20, 0.45, G26&lt;30, 0.65, G26&lt;40, 0.85, G26&gt;=40, 1 )</f>
        <v>0.45</v>
      </c>
      <c r="I26" s="18" t="n">
        <f aca="false">_xlfn.IFS( G26&lt;10, 1, G26&lt;20, 2, G26&lt;30, 3, G26&lt;40, 4, G26&gt;=40, 5 )</f>
        <v>2</v>
      </c>
    </row>
    <row r="27" customFormat="false" ht="13.5" hidden="false" customHeight="true" outlineLevel="0" collapsed="false">
      <c r="A27" s="11" t="n">
        <f aca="false">+A26+1</f>
        <v>26</v>
      </c>
      <c r="B27" s="20" t="n">
        <v>526815.7</v>
      </c>
      <c r="C27" s="21" t="n">
        <v>45047</v>
      </c>
      <c r="D27" s="22" t="s">
        <v>9</v>
      </c>
      <c r="E27" s="23" t="n">
        <v>34533</v>
      </c>
      <c r="F27" s="16" t="n">
        <f aca="false">DATEDIF(E27, "12/31/2025", "Y")</f>
        <v>31</v>
      </c>
      <c r="G27" s="16" t="n">
        <f aca="false">DATEDIF(C27, "12/31/2025", "Y")</f>
        <v>2</v>
      </c>
      <c r="H27" s="17" t="n">
        <f aca="false">_xlfn.IFS( G27&lt;10, 0, G27&lt;20, 0.45, G27&lt;30, 0.65, G27&lt;40, 0.85, G27&gt;=40, 1 )</f>
        <v>0</v>
      </c>
      <c r="I27" s="18" t="n">
        <f aca="false">_xlfn.IFS( G27&lt;10, 1, G27&lt;20, 2, G27&lt;30, 3, G27&lt;40, 4, G27&gt;=40, 5 )</f>
        <v>1</v>
      </c>
    </row>
    <row r="28" customFormat="false" ht="13.5" hidden="false" customHeight="true" outlineLevel="0" collapsed="false">
      <c r="A28" s="11" t="n">
        <f aca="false">+A27+1</f>
        <v>27</v>
      </c>
      <c r="B28" s="20" t="n">
        <v>1646110</v>
      </c>
      <c r="C28" s="21" t="n">
        <v>44682</v>
      </c>
      <c r="D28" s="22" t="s">
        <v>9</v>
      </c>
      <c r="E28" s="23" t="n">
        <v>33843</v>
      </c>
      <c r="F28" s="16" t="n">
        <f aca="false">DATEDIF(E28, "12/31/2025", "Y")</f>
        <v>33</v>
      </c>
      <c r="G28" s="16" t="n">
        <f aca="false">DATEDIF(C28, "12/31/2025", "Y")</f>
        <v>3</v>
      </c>
      <c r="H28" s="17" t="n">
        <f aca="false">_xlfn.IFS( G28&lt;10, 0, G28&lt;20, 0.45, G28&lt;30, 0.65, G28&lt;40, 0.85, G28&gt;=40, 1 )</f>
        <v>0</v>
      </c>
      <c r="I28" s="18" t="n">
        <f aca="false">_xlfn.IFS( G28&lt;10, 1, G28&lt;20, 2, G28&lt;30, 3, G28&lt;40, 4, G28&gt;=40, 5 )</f>
        <v>1</v>
      </c>
    </row>
    <row r="29" customFormat="false" ht="13.5" hidden="false" customHeight="true" outlineLevel="0" collapsed="false">
      <c r="A29" s="11" t="n">
        <f aca="false">+A28+1</f>
        <v>28</v>
      </c>
      <c r="B29" s="20" t="n">
        <v>1760041</v>
      </c>
      <c r="C29" s="21" t="n">
        <v>41435</v>
      </c>
      <c r="D29" s="22" t="s">
        <v>10</v>
      </c>
      <c r="E29" s="23" t="n">
        <v>32171</v>
      </c>
      <c r="F29" s="16" t="n">
        <f aca="false">DATEDIF(E29, "12/31/2025", "Y")</f>
        <v>37</v>
      </c>
      <c r="G29" s="16" t="n">
        <f aca="false">DATEDIF(C29, "12/31/2025", "Y")</f>
        <v>12</v>
      </c>
      <c r="H29" s="17" t="n">
        <f aca="false">_xlfn.IFS( G29&lt;10, 0, G29&lt;20, 0.45, G29&lt;30, 0.65, G29&lt;40, 0.85, G29&gt;=40, 1 )</f>
        <v>0.45</v>
      </c>
      <c r="I29" s="18" t="n">
        <f aca="false">_xlfn.IFS( G29&lt;10, 1, G29&lt;20, 2, G29&lt;30, 3, G29&lt;40, 4, G29&gt;=40, 5 )</f>
        <v>2</v>
      </c>
    </row>
    <row r="30" customFormat="false" ht="13.5" hidden="false" customHeight="true" outlineLevel="0" collapsed="false">
      <c r="A30" s="11" t="n">
        <f aca="false">+A29+1</f>
        <v>29</v>
      </c>
      <c r="B30" s="20" t="n">
        <v>494037.45</v>
      </c>
      <c r="C30" s="21" t="n">
        <v>41444</v>
      </c>
      <c r="D30" s="22" t="s">
        <v>9</v>
      </c>
      <c r="E30" s="23" t="n">
        <v>28187</v>
      </c>
      <c r="F30" s="16" t="n">
        <f aca="false">DATEDIF(E30, "12/31/2025", "Y")</f>
        <v>48</v>
      </c>
      <c r="G30" s="16" t="n">
        <f aca="false">DATEDIF(C30, "12/31/2025", "Y")</f>
        <v>12</v>
      </c>
      <c r="H30" s="17" t="n">
        <f aca="false">_xlfn.IFS( G30&lt;10, 0, G30&lt;20, 0.45, G30&lt;30, 0.65, G30&lt;40, 0.85, G30&gt;=40, 1 )</f>
        <v>0.45</v>
      </c>
      <c r="I30" s="18" t="n">
        <f aca="false">_xlfn.IFS( G30&lt;10, 1, G30&lt;20, 2, G30&lt;30, 3, G30&lt;40, 4, G30&gt;=40, 5 )</f>
        <v>2</v>
      </c>
    </row>
    <row r="31" customFormat="false" ht="13.5" hidden="false" customHeight="true" outlineLevel="0" collapsed="false">
      <c r="A31" s="11" t="n">
        <f aca="false">+A30+1</f>
        <v>30</v>
      </c>
      <c r="B31" s="20" t="n">
        <v>1554317.5</v>
      </c>
      <c r="C31" s="21" t="n">
        <v>42370</v>
      </c>
      <c r="D31" s="22" t="s">
        <v>9</v>
      </c>
      <c r="E31" s="23" t="n">
        <v>29081</v>
      </c>
      <c r="F31" s="16" t="n">
        <f aca="false">DATEDIF(E31, "12/31/2025", "Y")</f>
        <v>46</v>
      </c>
      <c r="G31" s="16" t="n">
        <f aca="false">DATEDIF(C31, "12/31/2025", "Y")</f>
        <v>9</v>
      </c>
      <c r="H31" s="17" t="n">
        <f aca="false">_xlfn.IFS( G31&lt;10, 0, G31&lt;20, 0.45, G31&lt;30, 0.65, G31&lt;40, 0.85, G31&gt;=40, 1 )</f>
        <v>0</v>
      </c>
      <c r="I31" s="18" t="n">
        <f aca="false">_xlfn.IFS( G31&lt;10, 1, G31&lt;20, 2, G31&lt;30, 3, G31&lt;40, 4, G31&gt;=40, 5 )</f>
        <v>1</v>
      </c>
    </row>
    <row r="32" customFormat="false" ht="13.5" hidden="false" customHeight="true" outlineLevel="0" collapsed="false">
      <c r="A32" s="11" t="n">
        <f aca="false">+A31+1</f>
        <v>31</v>
      </c>
      <c r="B32" s="20" t="n">
        <v>559340</v>
      </c>
      <c r="C32" s="21" t="n">
        <v>42156</v>
      </c>
      <c r="D32" s="22" t="s">
        <v>10</v>
      </c>
      <c r="E32" s="23" t="n">
        <v>29125</v>
      </c>
      <c r="F32" s="16" t="n">
        <f aca="false">DATEDIF(E32, "12/31/2025", "Y")</f>
        <v>46</v>
      </c>
      <c r="G32" s="16" t="n">
        <f aca="false">DATEDIF(C32, "12/31/2025", "Y")</f>
        <v>10</v>
      </c>
      <c r="H32" s="17" t="n">
        <f aca="false">_xlfn.IFS( G32&lt;10, 0, G32&lt;20, 0.45, G32&lt;30, 0.65, G32&lt;40, 0.85, G32&gt;=40, 1 )</f>
        <v>0.45</v>
      </c>
      <c r="I32" s="18" t="n">
        <f aca="false">_xlfn.IFS( G32&lt;10, 1, G32&lt;20, 2, G32&lt;30, 3, G32&lt;40, 4, G32&gt;=40, 5 )</f>
        <v>2</v>
      </c>
    </row>
    <row r="33" customFormat="false" ht="13.5" hidden="false" customHeight="true" outlineLevel="0" collapsed="false">
      <c r="A33" s="11" t="n">
        <f aca="false">+A32+1</f>
        <v>32</v>
      </c>
      <c r="B33" s="20" t="n">
        <v>1841908.5</v>
      </c>
      <c r="C33" s="21" t="n">
        <v>42065</v>
      </c>
      <c r="D33" s="22" t="s">
        <v>9</v>
      </c>
      <c r="E33" s="23" t="n">
        <v>29927</v>
      </c>
      <c r="F33" s="16" t="n">
        <f aca="false">DATEDIF(E33, "12/31/2025", "Y")</f>
        <v>44</v>
      </c>
      <c r="G33" s="16" t="n">
        <f aca="false">DATEDIF(C33, "12/31/2025", "Y")</f>
        <v>10</v>
      </c>
      <c r="H33" s="17" t="n">
        <f aca="false">_xlfn.IFS( G33&lt;10, 0, G33&lt;20, 0.45, G33&lt;30, 0.65, G33&lt;40, 0.85, G33&gt;=40, 1 )</f>
        <v>0.45</v>
      </c>
      <c r="I33" s="18" t="n">
        <f aca="false">_xlfn.IFS( G33&lt;10, 1, G33&lt;20, 2, G33&lt;30, 3, G33&lt;40, 4, G33&gt;=40, 5 )</f>
        <v>2</v>
      </c>
    </row>
    <row r="34" customFormat="false" ht="13.5" hidden="false" customHeight="true" outlineLevel="0" collapsed="false">
      <c r="A34" s="11" t="n">
        <f aca="false">+A33+1</f>
        <v>33</v>
      </c>
      <c r="B34" s="20" t="n">
        <v>3146274.1</v>
      </c>
      <c r="C34" s="21" t="n">
        <v>42065</v>
      </c>
      <c r="D34" s="22" t="s">
        <v>10</v>
      </c>
      <c r="E34" s="23" t="n">
        <v>31876</v>
      </c>
      <c r="F34" s="16" t="n">
        <f aca="false">DATEDIF(E34, "12/31/2025", "Y")</f>
        <v>38</v>
      </c>
      <c r="G34" s="16" t="n">
        <f aca="false">DATEDIF(C34, "12/31/2025", "Y")</f>
        <v>10</v>
      </c>
      <c r="H34" s="17" t="n">
        <f aca="false">_xlfn.IFS( G34&lt;10, 0, G34&lt;20, 0.45, G34&lt;30, 0.65, G34&lt;40, 0.85, G34&gt;=40, 1 )</f>
        <v>0.45</v>
      </c>
      <c r="I34" s="18" t="n">
        <f aca="false">_xlfn.IFS( G34&lt;10, 1, G34&lt;20, 2, G34&lt;30, 3, G34&lt;40, 4, G34&gt;=40, 5 )</f>
        <v>2</v>
      </c>
    </row>
    <row r="35" customFormat="false" ht="13.5" hidden="false" customHeight="true" outlineLevel="0" collapsed="false">
      <c r="A35" s="11" t="n">
        <f aca="false">+A34+1</f>
        <v>34</v>
      </c>
      <c r="B35" s="20" t="n">
        <v>982581</v>
      </c>
      <c r="C35" s="21" t="n">
        <v>42065</v>
      </c>
      <c r="D35" s="22" t="s">
        <v>10</v>
      </c>
      <c r="E35" s="23" t="n">
        <v>29164</v>
      </c>
      <c r="F35" s="16" t="n">
        <f aca="false">DATEDIF(E35, "12/31/2025", "Y")</f>
        <v>46</v>
      </c>
      <c r="G35" s="16" t="n">
        <f aca="false">DATEDIF(C35, "12/31/2025", "Y")</f>
        <v>10</v>
      </c>
      <c r="H35" s="17" t="n">
        <f aca="false">_xlfn.IFS( G35&lt;10, 0, G35&lt;20, 0.45, G35&lt;30, 0.65, G35&lt;40, 0.85, G35&gt;=40, 1 )</f>
        <v>0.45</v>
      </c>
      <c r="I35" s="18" t="n">
        <f aca="false">_xlfn.IFS( G35&lt;10, 1, G35&lt;20, 2, G35&lt;30, 3, G35&lt;40, 4, G35&gt;=40, 5 )</f>
        <v>2</v>
      </c>
    </row>
    <row r="36" customFormat="false" ht="13.5" hidden="false" customHeight="true" outlineLevel="0" collapsed="false">
      <c r="A36" s="11" t="n">
        <f aca="false">+A35+1</f>
        <v>35</v>
      </c>
      <c r="B36" s="20" t="n">
        <v>527254.73</v>
      </c>
      <c r="C36" s="21" t="n">
        <v>42065</v>
      </c>
      <c r="D36" s="22" t="s">
        <v>9</v>
      </c>
      <c r="E36" s="23" t="n">
        <v>28087</v>
      </c>
      <c r="F36" s="16" t="n">
        <f aca="false">DATEDIF(E36, "12/31/2025", "Y")</f>
        <v>49</v>
      </c>
      <c r="G36" s="16" t="n">
        <f aca="false">DATEDIF(C36, "12/31/2025", "Y")</f>
        <v>10</v>
      </c>
      <c r="H36" s="17" t="n">
        <f aca="false">_xlfn.IFS( G36&lt;10, 0, G36&lt;20, 0.45, G36&lt;30, 0.65, G36&lt;40, 0.85, G36&gt;=40, 1 )</f>
        <v>0.45</v>
      </c>
      <c r="I36" s="18" t="n">
        <f aca="false">_xlfn.IFS( G36&lt;10, 1, G36&lt;20, 2, G36&lt;30, 3, G36&lt;40, 4, G36&gt;=40, 5 )</f>
        <v>2</v>
      </c>
    </row>
    <row r="37" customFormat="false" ht="13.5" hidden="false" customHeight="true" outlineLevel="0" collapsed="false">
      <c r="A37" s="11" t="n">
        <f aca="false">+A36+1</f>
        <v>36</v>
      </c>
      <c r="B37" s="20" t="n">
        <v>445621.25</v>
      </c>
      <c r="C37" s="21" t="n">
        <v>42065</v>
      </c>
      <c r="D37" s="22" t="s">
        <v>9</v>
      </c>
      <c r="E37" s="23" t="n">
        <v>28886</v>
      </c>
      <c r="F37" s="16" t="n">
        <f aca="false">DATEDIF(E37, "12/31/2025", "Y")</f>
        <v>46</v>
      </c>
      <c r="G37" s="16" t="n">
        <f aca="false">DATEDIF(C37, "12/31/2025", "Y")</f>
        <v>10</v>
      </c>
      <c r="H37" s="17" t="n">
        <f aca="false">_xlfn.IFS( G37&lt;10, 0, G37&lt;20, 0.45, G37&lt;30, 0.65, G37&lt;40, 0.85, G37&gt;=40, 1 )</f>
        <v>0.45</v>
      </c>
      <c r="I37" s="18" t="n">
        <f aca="false">_xlfn.IFS( G37&lt;10, 1, G37&lt;20, 2, G37&lt;30, 3, G37&lt;40, 4, G37&gt;=40, 5 )</f>
        <v>2</v>
      </c>
    </row>
    <row r="38" customFormat="false" ht="13.5" hidden="false" customHeight="true" outlineLevel="0" collapsed="false">
      <c r="A38" s="11" t="n">
        <f aca="false">+A37+1</f>
        <v>37</v>
      </c>
      <c r="B38" s="20" t="n">
        <v>668348.5</v>
      </c>
      <c r="C38" s="21" t="n">
        <v>41518</v>
      </c>
      <c r="D38" s="22" t="s">
        <v>9</v>
      </c>
      <c r="E38" s="23" t="n">
        <v>34203</v>
      </c>
      <c r="F38" s="16" t="n">
        <f aca="false">DATEDIF(E38, "12/31/2025", "Y")</f>
        <v>32</v>
      </c>
      <c r="G38" s="16" t="n">
        <f aca="false">DATEDIF(C38, "12/31/2025", "Y")</f>
        <v>12</v>
      </c>
      <c r="H38" s="17" t="n">
        <f aca="false">_xlfn.IFS( G38&lt;10, 0, G38&lt;20, 0.45, G38&lt;30, 0.65, G38&lt;40, 0.85, G38&gt;=40, 1 )</f>
        <v>0.45</v>
      </c>
      <c r="I38" s="18" t="n">
        <f aca="false">_xlfn.IFS( G38&lt;10, 1, G38&lt;20, 2, G38&lt;30, 3, G38&lt;40, 4, G38&gt;=40, 5 )</f>
        <v>2</v>
      </c>
    </row>
    <row r="39" customFormat="false" ht="13.5" hidden="false" customHeight="true" outlineLevel="0" collapsed="false">
      <c r="A39" s="11" t="n">
        <f aca="false">+A38+1</f>
        <v>38</v>
      </c>
      <c r="B39" s="20" t="n">
        <v>855448</v>
      </c>
      <c r="C39" s="21" t="n">
        <v>41522</v>
      </c>
      <c r="D39" s="22" t="s">
        <v>9</v>
      </c>
      <c r="E39" s="23" t="n">
        <v>31792</v>
      </c>
      <c r="F39" s="16" t="n">
        <f aca="false">DATEDIF(E39, "12/31/2025", "Y")</f>
        <v>38</v>
      </c>
      <c r="G39" s="16" t="n">
        <f aca="false">DATEDIF(C39, "12/31/2025", "Y")</f>
        <v>12</v>
      </c>
      <c r="H39" s="17" t="n">
        <f aca="false">_xlfn.IFS( G39&lt;10, 0, G39&lt;20, 0.45, G39&lt;30, 0.65, G39&lt;40, 0.85, G39&gt;=40, 1 )</f>
        <v>0.45</v>
      </c>
      <c r="I39" s="18" t="n">
        <f aca="false">_xlfn.IFS( G39&lt;10, 1, G39&lt;20, 2, G39&lt;30, 3, G39&lt;40, 4, G39&gt;=40, 5 )</f>
        <v>2</v>
      </c>
    </row>
    <row r="40" customFormat="false" ht="13.5" hidden="false" customHeight="true" outlineLevel="0" collapsed="false">
      <c r="A40" s="11" t="n">
        <f aca="false">+A39+1</f>
        <v>39</v>
      </c>
      <c r="B40" s="20" t="n">
        <v>1562836.6</v>
      </c>
      <c r="C40" s="21" t="n">
        <v>41652</v>
      </c>
      <c r="D40" s="22" t="s">
        <v>10</v>
      </c>
      <c r="E40" s="23" t="n">
        <v>34075</v>
      </c>
      <c r="F40" s="16" t="n">
        <f aca="false">DATEDIF(E40, "12/31/2025", "Y")</f>
        <v>32</v>
      </c>
      <c r="G40" s="16" t="n">
        <f aca="false">DATEDIF(C40, "12/31/2025", "Y")</f>
        <v>11</v>
      </c>
      <c r="H40" s="17" t="n">
        <f aca="false">_xlfn.IFS( G40&lt;10, 0, G40&lt;20, 0.45, G40&lt;30, 0.65, G40&lt;40, 0.85, G40&gt;=40, 1 )</f>
        <v>0.45</v>
      </c>
      <c r="I40" s="18" t="n">
        <f aca="false">_xlfn.IFS( G40&lt;10, 1, G40&lt;20, 2, G40&lt;30, 3, G40&lt;40, 4, G40&gt;=40, 5 )</f>
        <v>2</v>
      </c>
    </row>
    <row r="41" customFormat="false" ht="13.5" hidden="false" customHeight="true" outlineLevel="0" collapsed="false">
      <c r="A41" s="11" t="n">
        <f aca="false">+A40+1</f>
        <v>40</v>
      </c>
      <c r="B41" s="20" t="n">
        <v>779249</v>
      </c>
      <c r="C41" s="21" t="n">
        <v>41673</v>
      </c>
      <c r="D41" s="22" t="s">
        <v>9</v>
      </c>
      <c r="E41" s="23" t="n">
        <v>31645</v>
      </c>
      <c r="F41" s="16" t="n">
        <f aca="false">DATEDIF(E41, "12/31/2025", "Y")</f>
        <v>39</v>
      </c>
      <c r="G41" s="16" t="n">
        <f aca="false">DATEDIF(C41, "12/31/2025", "Y")</f>
        <v>11</v>
      </c>
      <c r="H41" s="17" t="n">
        <f aca="false">_xlfn.IFS( G41&lt;10, 0, G41&lt;20, 0.45, G41&lt;30, 0.65, G41&lt;40, 0.85, G41&gt;=40, 1 )</f>
        <v>0.45</v>
      </c>
      <c r="I41" s="18" t="n">
        <f aca="false">_xlfn.IFS( G41&lt;10, 1, G41&lt;20, 2, G41&lt;30, 3, G41&lt;40, 4, G41&gt;=40, 5 )</f>
        <v>2</v>
      </c>
    </row>
    <row r="42" customFormat="false" ht="13.5" hidden="false" customHeight="true" outlineLevel="0" collapsed="false">
      <c r="A42" s="11" t="n">
        <f aca="false">+A41+1</f>
        <v>41</v>
      </c>
      <c r="B42" s="20" t="n">
        <v>806438</v>
      </c>
      <c r="C42" s="21" t="n">
        <v>41554</v>
      </c>
      <c r="D42" s="22" t="s">
        <v>9</v>
      </c>
      <c r="E42" s="23" t="n">
        <v>24939</v>
      </c>
      <c r="F42" s="16" t="n">
        <f aca="false">DATEDIF(E42, "12/31/2025", "Y")</f>
        <v>57</v>
      </c>
      <c r="G42" s="16" t="n">
        <f aca="false">DATEDIF(C42, "12/31/2025", "Y")</f>
        <v>12</v>
      </c>
      <c r="H42" s="17" t="n">
        <f aca="false">_xlfn.IFS( G42&lt;10, 0, G42&lt;20, 0.45, G42&lt;30, 0.65, G42&lt;40, 0.85, G42&gt;=40, 1 )</f>
        <v>0.45</v>
      </c>
      <c r="I42" s="18" t="n">
        <f aca="false">_xlfn.IFS( G42&lt;10, 1, G42&lt;20, 2, G42&lt;30, 3, G42&lt;40, 4, G42&gt;=40, 5 )</f>
        <v>2</v>
      </c>
    </row>
    <row r="43" customFormat="false" ht="13.5" hidden="false" customHeight="true" outlineLevel="0" collapsed="false">
      <c r="A43" s="11" t="n">
        <f aca="false">+A42+1</f>
        <v>42</v>
      </c>
      <c r="B43" s="20" t="n">
        <v>566986.4</v>
      </c>
      <c r="C43" s="21" t="n">
        <v>41603</v>
      </c>
      <c r="D43" s="22" t="s">
        <v>9</v>
      </c>
      <c r="E43" s="23" t="n">
        <v>31397</v>
      </c>
      <c r="F43" s="16" t="n">
        <f aca="false">DATEDIF(E43, "12/31/2025", "Y")</f>
        <v>40</v>
      </c>
      <c r="G43" s="16" t="n">
        <f aca="false">DATEDIF(C43, "12/31/2025", "Y")</f>
        <v>12</v>
      </c>
      <c r="H43" s="17" t="n">
        <f aca="false">_xlfn.IFS( G43&lt;10, 0, G43&lt;20, 0.45, G43&lt;30, 0.65, G43&lt;40, 0.85, G43&gt;=40, 1 )</f>
        <v>0.45</v>
      </c>
      <c r="I43" s="18" t="n">
        <f aca="false">_xlfn.IFS( G43&lt;10, 1, G43&lt;20, 2, G43&lt;30, 3, G43&lt;40, 4, G43&gt;=40, 5 )</f>
        <v>2</v>
      </c>
    </row>
    <row r="44" customFormat="false" ht="13.5" hidden="false" customHeight="true" outlineLevel="0" collapsed="false">
      <c r="A44" s="11" t="n">
        <f aca="false">+A43+1</f>
        <v>43</v>
      </c>
      <c r="B44" s="20" t="n">
        <v>2219905.7</v>
      </c>
      <c r="C44" s="21" t="n">
        <v>43850</v>
      </c>
      <c r="D44" s="22" t="s">
        <v>10</v>
      </c>
      <c r="E44" s="23" t="n">
        <v>33196</v>
      </c>
      <c r="F44" s="16" t="n">
        <f aca="false">DATEDIF(E44, "12/31/2025", "Y")</f>
        <v>35</v>
      </c>
      <c r="G44" s="16" t="n">
        <f aca="false">DATEDIF(C44, "12/31/2025", "Y")</f>
        <v>5</v>
      </c>
      <c r="H44" s="17" t="n">
        <f aca="false">_xlfn.IFS( G44&lt;10, 0, G44&lt;20, 0.45, G44&lt;30, 0.65, G44&lt;40, 0.85, G44&gt;=40, 1 )</f>
        <v>0</v>
      </c>
      <c r="I44" s="18" t="n">
        <f aca="false">_xlfn.IFS( G44&lt;10, 1, G44&lt;20, 2, G44&lt;30, 3, G44&lt;40, 4, G44&gt;=40, 5 )</f>
        <v>1</v>
      </c>
    </row>
    <row r="45" customFormat="false" ht="13.5" hidden="false" customHeight="true" outlineLevel="0" collapsed="false">
      <c r="A45" s="11" t="n">
        <f aca="false">+A44+1</f>
        <v>44</v>
      </c>
      <c r="B45" s="20" t="n">
        <v>3250699.5</v>
      </c>
      <c r="C45" s="21" t="n">
        <v>41631</v>
      </c>
      <c r="D45" s="22" t="s">
        <v>10</v>
      </c>
      <c r="E45" s="23" t="n">
        <v>33751</v>
      </c>
      <c r="F45" s="16" t="n">
        <f aca="false">DATEDIF(E45, "12/31/2025", "Y")</f>
        <v>33</v>
      </c>
      <c r="G45" s="16" t="n">
        <f aca="false">DATEDIF(C45, "12/31/2025", "Y")</f>
        <v>12</v>
      </c>
      <c r="H45" s="17" t="n">
        <f aca="false">_xlfn.IFS( G45&lt;10, 0, G45&lt;20, 0.45, G45&lt;30, 0.65, G45&lt;40, 0.85, G45&gt;=40, 1 )</f>
        <v>0.45</v>
      </c>
      <c r="I45" s="18" t="n">
        <f aca="false">_xlfn.IFS( G45&lt;10, 1, G45&lt;20, 2, G45&lt;30, 3, G45&lt;40, 4, G45&gt;=40, 5 )</f>
        <v>2</v>
      </c>
    </row>
    <row r="46" customFormat="false" ht="13.5" hidden="false" customHeight="true" outlineLevel="0" collapsed="false">
      <c r="A46" s="11" t="n">
        <f aca="false">+A45+1</f>
        <v>45</v>
      </c>
      <c r="B46" s="20" t="n">
        <v>1922135.2</v>
      </c>
      <c r="C46" s="21" t="n">
        <v>41652</v>
      </c>
      <c r="D46" s="22" t="s">
        <v>10</v>
      </c>
      <c r="E46" s="23" t="n">
        <v>32260</v>
      </c>
      <c r="F46" s="16" t="n">
        <f aca="false">DATEDIF(E46, "12/31/2025", "Y")</f>
        <v>37</v>
      </c>
      <c r="G46" s="16" t="n">
        <f aca="false">DATEDIF(C46, "12/31/2025", "Y")</f>
        <v>11</v>
      </c>
      <c r="H46" s="17" t="n">
        <f aca="false">_xlfn.IFS( G46&lt;10, 0, G46&lt;20, 0.45, G46&lt;30, 0.65, G46&lt;40, 0.85, G46&gt;=40, 1 )</f>
        <v>0.45</v>
      </c>
      <c r="I46" s="18" t="n">
        <f aca="false">_xlfn.IFS( G46&lt;10, 1, G46&lt;20, 2, G46&lt;30, 3, G46&lt;40, 4, G46&gt;=40, 5 )</f>
        <v>2</v>
      </c>
    </row>
    <row r="47" customFormat="false" ht="13.5" hidden="false" customHeight="true" outlineLevel="0" collapsed="false">
      <c r="A47" s="11" t="n">
        <f aca="false">+A46+1</f>
        <v>46</v>
      </c>
      <c r="B47" s="20" t="n">
        <v>1961283.8</v>
      </c>
      <c r="C47" s="21" t="n">
        <v>44682</v>
      </c>
      <c r="D47" s="22" t="s">
        <v>10</v>
      </c>
      <c r="E47" s="23" t="n">
        <v>33173</v>
      </c>
      <c r="F47" s="16" t="n">
        <f aca="false">DATEDIF(E47, "12/31/2025", "Y")</f>
        <v>35</v>
      </c>
      <c r="G47" s="16" t="n">
        <f aca="false">DATEDIF(C47, "12/31/2025", "Y")</f>
        <v>3</v>
      </c>
      <c r="H47" s="17" t="n">
        <f aca="false">_xlfn.IFS( G47&lt;10, 0, G47&lt;20, 0.45, G47&lt;30, 0.65, G47&lt;40, 0.85, G47&gt;=40, 1 )</f>
        <v>0</v>
      </c>
      <c r="I47" s="18" t="n">
        <f aca="false">_xlfn.IFS( G47&lt;10, 1, G47&lt;20, 2, G47&lt;30, 3, G47&lt;40, 4, G47&gt;=40, 5 )</f>
        <v>1</v>
      </c>
    </row>
    <row r="48" customFormat="false" ht="13.5" hidden="false" customHeight="true" outlineLevel="0" collapsed="false">
      <c r="A48" s="11" t="n">
        <f aca="false">+A47+1</f>
        <v>47</v>
      </c>
      <c r="B48" s="20" t="n">
        <v>2310707</v>
      </c>
      <c r="C48" s="21" t="n">
        <v>41701</v>
      </c>
      <c r="D48" s="22" t="s">
        <v>9</v>
      </c>
      <c r="E48" s="23" t="n">
        <v>31801</v>
      </c>
      <c r="F48" s="16" t="n">
        <f aca="false">DATEDIF(E48, "12/31/2025", "Y")</f>
        <v>38</v>
      </c>
      <c r="G48" s="16" t="n">
        <f aca="false">DATEDIF(C48, "12/31/2025", "Y")</f>
        <v>11</v>
      </c>
      <c r="H48" s="17" t="n">
        <f aca="false">_xlfn.IFS( G48&lt;10, 0, G48&lt;20, 0.45, G48&lt;30, 0.65, G48&lt;40, 0.85, G48&gt;=40, 1 )</f>
        <v>0.45</v>
      </c>
      <c r="I48" s="18" t="n">
        <f aca="false">_xlfn.IFS( G48&lt;10, 1, G48&lt;20, 2, G48&lt;30, 3, G48&lt;40, 4, G48&gt;=40, 5 )</f>
        <v>2</v>
      </c>
    </row>
    <row r="49" customFormat="false" ht="13.5" hidden="false" customHeight="true" outlineLevel="0" collapsed="false">
      <c r="A49" s="11" t="n">
        <f aca="false">+A48+1</f>
        <v>48</v>
      </c>
      <c r="B49" s="20" t="n">
        <v>673794.25</v>
      </c>
      <c r="C49" s="21" t="n">
        <v>41757</v>
      </c>
      <c r="D49" s="22" t="s">
        <v>10</v>
      </c>
      <c r="E49" s="23" t="n">
        <v>32695</v>
      </c>
      <c r="F49" s="16" t="n">
        <f aca="false">DATEDIF(E49, "12/31/2025", "Y")</f>
        <v>36</v>
      </c>
      <c r="G49" s="16" t="n">
        <f aca="false">DATEDIF(C49, "12/31/2025", "Y")</f>
        <v>11</v>
      </c>
      <c r="H49" s="17" t="n">
        <f aca="false">_xlfn.IFS( G49&lt;10, 0, G49&lt;20, 0.45, G49&lt;30, 0.65, G49&lt;40, 0.85, G49&gt;=40, 1 )</f>
        <v>0.45</v>
      </c>
      <c r="I49" s="18" t="n">
        <f aca="false">_xlfn.IFS( G49&lt;10, 1, G49&lt;20, 2, G49&lt;30, 3, G49&lt;40, 4, G49&gt;=40, 5 )</f>
        <v>2</v>
      </c>
    </row>
    <row r="50" customFormat="false" ht="13.5" hidden="false" customHeight="true" outlineLevel="0" collapsed="false">
      <c r="A50" s="11" t="n">
        <f aca="false">+A49+1</f>
        <v>49</v>
      </c>
      <c r="B50" s="20" t="n">
        <v>1429496.5</v>
      </c>
      <c r="C50" s="21" t="n">
        <v>41787</v>
      </c>
      <c r="D50" s="22" t="s">
        <v>9</v>
      </c>
      <c r="E50" s="23" t="n">
        <v>30006</v>
      </c>
      <c r="F50" s="16" t="n">
        <f aca="false">DATEDIF(E50, "12/31/2025", "Y")</f>
        <v>43</v>
      </c>
      <c r="G50" s="16" t="n">
        <f aca="false">DATEDIF(C50, "12/31/2025", "Y")</f>
        <v>11</v>
      </c>
      <c r="H50" s="17" t="n">
        <f aca="false">_xlfn.IFS( G50&lt;10, 0, G50&lt;20, 0.45, G50&lt;30, 0.65, G50&lt;40, 0.85, G50&gt;=40, 1 )</f>
        <v>0.45</v>
      </c>
      <c r="I50" s="18" t="n">
        <f aca="false">_xlfn.IFS( G50&lt;10, 1, G50&lt;20, 2, G50&lt;30, 3, G50&lt;40, 4, G50&gt;=40, 5 )</f>
        <v>2</v>
      </c>
    </row>
    <row r="51" customFormat="false" ht="13.5" hidden="false" customHeight="true" outlineLevel="0" collapsed="false">
      <c r="A51" s="11" t="n">
        <f aca="false">+A50+1</f>
        <v>50</v>
      </c>
      <c r="B51" s="20" t="n">
        <v>641485</v>
      </c>
      <c r="C51" s="21" t="n">
        <v>41806</v>
      </c>
      <c r="D51" s="22" t="s">
        <v>10</v>
      </c>
      <c r="E51" s="23" t="n">
        <v>31831</v>
      </c>
      <c r="F51" s="16" t="n">
        <f aca="false">DATEDIF(E51, "12/31/2025", "Y")</f>
        <v>38</v>
      </c>
      <c r="G51" s="16" t="n">
        <f aca="false">DATEDIF(C51, "12/31/2025", "Y")</f>
        <v>11</v>
      </c>
      <c r="H51" s="17" t="n">
        <f aca="false">_xlfn.IFS( G51&lt;10, 0, G51&lt;20, 0.45, G51&lt;30, 0.65, G51&lt;40, 0.85, G51&gt;=40, 1 )</f>
        <v>0.45</v>
      </c>
      <c r="I51" s="18" t="n">
        <f aca="false">_xlfn.IFS( G51&lt;10, 1, G51&lt;20, 2, G51&lt;30, 3, G51&lt;40, 4, G51&gt;=40, 5 )</f>
        <v>2</v>
      </c>
    </row>
    <row r="52" customFormat="false" ht="13.5" hidden="false" customHeight="true" outlineLevel="0" collapsed="false">
      <c r="A52" s="11" t="n">
        <f aca="false">+A51+1</f>
        <v>51</v>
      </c>
      <c r="B52" s="20" t="n">
        <v>713149.7</v>
      </c>
      <c r="C52" s="21" t="n">
        <v>41834</v>
      </c>
      <c r="D52" s="22" t="s">
        <v>10</v>
      </c>
      <c r="E52" s="23" t="n">
        <v>31633</v>
      </c>
      <c r="F52" s="16" t="n">
        <f aca="false">DATEDIF(E52, "12/31/2025", "Y")</f>
        <v>39</v>
      </c>
      <c r="G52" s="16" t="n">
        <f aca="false">DATEDIF(C52, "12/31/2025", "Y")</f>
        <v>11</v>
      </c>
      <c r="H52" s="17" t="n">
        <f aca="false">_xlfn.IFS( G52&lt;10, 0, G52&lt;20, 0.45, G52&lt;30, 0.65, G52&lt;40, 0.85, G52&gt;=40, 1 )</f>
        <v>0.45</v>
      </c>
      <c r="I52" s="18" t="n">
        <f aca="false">_xlfn.IFS( G52&lt;10, 1, G52&lt;20, 2, G52&lt;30, 3, G52&lt;40, 4, G52&gt;=40, 5 )</f>
        <v>2</v>
      </c>
    </row>
    <row r="53" customFormat="false" ht="13.5" hidden="false" customHeight="true" outlineLevel="0" collapsed="false">
      <c r="A53" s="11" t="n">
        <f aca="false">+A52+1</f>
        <v>52</v>
      </c>
      <c r="B53" s="20" t="n">
        <v>2174111.6</v>
      </c>
      <c r="C53" s="21" t="n">
        <v>41848</v>
      </c>
      <c r="D53" s="22" t="s">
        <v>9</v>
      </c>
      <c r="E53" s="23" t="n">
        <v>28090</v>
      </c>
      <c r="F53" s="16" t="n">
        <f aca="false">DATEDIF(E53, "12/31/2025", "Y")</f>
        <v>49</v>
      </c>
      <c r="G53" s="16" t="n">
        <f aca="false">DATEDIF(C53, "12/31/2025", "Y")</f>
        <v>11</v>
      </c>
      <c r="H53" s="17" t="n">
        <f aca="false">_xlfn.IFS( G53&lt;10, 0, G53&lt;20, 0.45, G53&lt;30, 0.65, G53&lt;40, 0.85, G53&gt;=40, 1 )</f>
        <v>0.45</v>
      </c>
      <c r="I53" s="18" t="n">
        <f aca="false">_xlfn.IFS( G53&lt;10, 1, G53&lt;20, 2, G53&lt;30, 3, G53&lt;40, 4, G53&gt;=40, 5 )</f>
        <v>2</v>
      </c>
    </row>
    <row r="54" customFormat="false" ht="13.5" hidden="false" customHeight="true" outlineLevel="0" collapsed="false">
      <c r="A54" s="11" t="n">
        <f aca="false">+A53+1</f>
        <v>53</v>
      </c>
      <c r="B54" s="20" t="n">
        <v>1883770.4</v>
      </c>
      <c r="C54" s="21" t="n">
        <v>41862</v>
      </c>
      <c r="D54" s="22" t="s">
        <v>9</v>
      </c>
      <c r="E54" s="23" t="n">
        <v>28425</v>
      </c>
      <c r="F54" s="16" t="n">
        <f aca="false">DATEDIF(E54, "12/31/2025", "Y")</f>
        <v>48</v>
      </c>
      <c r="G54" s="16" t="n">
        <f aca="false">DATEDIF(C54, "12/31/2025", "Y")</f>
        <v>11</v>
      </c>
      <c r="H54" s="17" t="n">
        <f aca="false">_xlfn.IFS( G54&lt;10, 0, G54&lt;20, 0.45, G54&lt;30, 0.65, G54&lt;40, 0.85, G54&gt;=40, 1 )</f>
        <v>0.45</v>
      </c>
      <c r="I54" s="18" t="n">
        <f aca="false">_xlfn.IFS( G54&lt;10, 1, G54&lt;20, 2, G54&lt;30, 3, G54&lt;40, 4, G54&gt;=40, 5 )</f>
        <v>2</v>
      </c>
    </row>
    <row r="55" customFormat="false" ht="13.5" hidden="false" customHeight="true" outlineLevel="0" collapsed="false">
      <c r="A55" s="11" t="n">
        <f aca="false">+A54+1</f>
        <v>54</v>
      </c>
      <c r="B55" s="20" t="n">
        <v>1920202.69</v>
      </c>
      <c r="C55" s="21" t="n">
        <v>41879</v>
      </c>
      <c r="D55" s="22" t="s">
        <v>9</v>
      </c>
      <c r="E55" s="23" t="n">
        <v>31732</v>
      </c>
      <c r="F55" s="16" t="n">
        <f aca="false">DATEDIF(E55, "12/31/2025", "Y")</f>
        <v>39</v>
      </c>
      <c r="G55" s="16" t="n">
        <f aca="false">DATEDIF(C55, "12/31/2025", "Y")</f>
        <v>11</v>
      </c>
      <c r="H55" s="17" t="n">
        <f aca="false">_xlfn.IFS( G55&lt;10, 0, G55&lt;20, 0.45, G55&lt;30, 0.65, G55&lt;40, 0.85, G55&gt;=40, 1 )</f>
        <v>0.45</v>
      </c>
      <c r="I55" s="18" t="n">
        <f aca="false">_xlfn.IFS( G55&lt;10, 1, G55&lt;20, 2, G55&lt;30, 3, G55&lt;40, 4, G55&gt;=40, 5 )</f>
        <v>2</v>
      </c>
    </row>
    <row r="56" customFormat="false" ht="13.5" hidden="false" customHeight="true" outlineLevel="0" collapsed="false">
      <c r="A56" s="11" t="n">
        <f aca="false">+A55+1</f>
        <v>55</v>
      </c>
      <c r="B56" s="20" t="n">
        <v>1844754.4</v>
      </c>
      <c r="C56" s="21" t="n">
        <v>42079</v>
      </c>
      <c r="D56" s="22" t="s">
        <v>9</v>
      </c>
      <c r="E56" s="23" t="n">
        <v>33131</v>
      </c>
      <c r="F56" s="16" t="n">
        <f aca="false">DATEDIF(E56, "12/31/2025", "Y")</f>
        <v>35</v>
      </c>
      <c r="G56" s="16" t="n">
        <f aca="false">DATEDIF(C56, "12/31/2025", "Y")</f>
        <v>10</v>
      </c>
      <c r="H56" s="17" t="n">
        <f aca="false">_xlfn.IFS( G56&lt;10, 0, G56&lt;20, 0.45, G56&lt;30, 0.65, G56&lt;40, 0.85, G56&gt;=40, 1 )</f>
        <v>0.45</v>
      </c>
      <c r="I56" s="18" t="n">
        <f aca="false">_xlfn.IFS( G56&lt;10, 1, G56&lt;20, 2, G56&lt;30, 3, G56&lt;40, 4, G56&gt;=40, 5 )</f>
        <v>2</v>
      </c>
    </row>
    <row r="57" customFormat="false" ht="13.5" hidden="false" customHeight="true" outlineLevel="0" collapsed="false">
      <c r="A57" s="11" t="n">
        <f aca="false">+A56+1</f>
        <v>56</v>
      </c>
      <c r="B57" s="20" t="n">
        <v>1645001.6</v>
      </c>
      <c r="C57" s="21" t="n">
        <v>42108</v>
      </c>
      <c r="D57" s="22" t="s">
        <v>9</v>
      </c>
      <c r="E57" s="23" t="n">
        <v>33153</v>
      </c>
      <c r="F57" s="16" t="n">
        <f aca="false">DATEDIF(E57, "12/31/2025", "Y")</f>
        <v>35</v>
      </c>
      <c r="G57" s="16" t="n">
        <f aca="false">DATEDIF(C57, "12/31/2025", "Y")</f>
        <v>10</v>
      </c>
      <c r="H57" s="17" t="n">
        <f aca="false">_xlfn.IFS( G57&lt;10, 0, G57&lt;20, 0.45, G57&lt;30, 0.65, G57&lt;40, 0.85, G57&gt;=40, 1 )</f>
        <v>0.45</v>
      </c>
      <c r="I57" s="18" t="n">
        <f aca="false">_xlfn.IFS( G57&lt;10, 1, G57&lt;20, 2, G57&lt;30, 3, G57&lt;40, 4, G57&gt;=40, 5 )</f>
        <v>2</v>
      </c>
    </row>
    <row r="58" customFormat="false" ht="13.5" hidden="false" customHeight="true" outlineLevel="0" collapsed="false">
      <c r="A58" s="11" t="n">
        <f aca="false">+A57+1</f>
        <v>57</v>
      </c>
      <c r="B58" s="20" t="n">
        <v>776500.5</v>
      </c>
      <c r="C58" s="21" t="n">
        <v>42177</v>
      </c>
      <c r="D58" s="22" t="s">
        <v>9</v>
      </c>
      <c r="E58" s="23" t="n">
        <v>33373</v>
      </c>
      <c r="F58" s="16" t="n">
        <f aca="false">DATEDIF(E58, "12/31/2025", "Y")</f>
        <v>34</v>
      </c>
      <c r="G58" s="16" t="n">
        <f aca="false">DATEDIF(C58, "12/31/2025", "Y")</f>
        <v>10</v>
      </c>
      <c r="H58" s="17" t="n">
        <f aca="false">_xlfn.IFS( G58&lt;10, 0, G58&lt;20, 0.45, G58&lt;30, 0.65, G58&lt;40, 0.85, G58&gt;=40, 1 )</f>
        <v>0.45</v>
      </c>
      <c r="I58" s="18" t="n">
        <f aca="false">_xlfn.IFS( G58&lt;10, 1, G58&lt;20, 2, G58&lt;30, 3, G58&lt;40, 4, G58&gt;=40, 5 )</f>
        <v>2</v>
      </c>
    </row>
    <row r="59" customFormat="false" ht="13.5" hidden="false" customHeight="true" outlineLevel="0" collapsed="false">
      <c r="A59" s="11" t="n">
        <f aca="false">+A58+1</f>
        <v>58</v>
      </c>
      <c r="B59" s="20" t="n">
        <v>802866</v>
      </c>
      <c r="C59" s="21" t="n">
        <v>42384</v>
      </c>
      <c r="D59" s="22" t="s">
        <v>10</v>
      </c>
      <c r="E59" s="23" t="n">
        <v>33058</v>
      </c>
      <c r="F59" s="16" t="n">
        <f aca="false">DATEDIF(E59, "12/31/2025", "Y")</f>
        <v>35</v>
      </c>
      <c r="G59" s="16" t="n">
        <f aca="false">DATEDIF(C59, "12/31/2025", "Y")</f>
        <v>9</v>
      </c>
      <c r="H59" s="17" t="n">
        <f aca="false">_xlfn.IFS( G59&lt;10, 0, G59&lt;20, 0.45, G59&lt;30, 0.65, G59&lt;40, 0.85, G59&gt;=40, 1 )</f>
        <v>0</v>
      </c>
      <c r="I59" s="18" t="n">
        <f aca="false">_xlfn.IFS( G59&lt;10, 1, G59&lt;20, 2, G59&lt;30, 3, G59&lt;40, 4, G59&gt;=40, 5 )</f>
        <v>1</v>
      </c>
    </row>
    <row r="60" customFormat="false" ht="13.5" hidden="false" customHeight="true" outlineLevel="0" collapsed="false">
      <c r="A60" s="11" t="n">
        <f aca="false">+A59+1</f>
        <v>59</v>
      </c>
      <c r="B60" s="20" t="n">
        <v>596527.65</v>
      </c>
      <c r="C60" s="21" t="n">
        <v>42282</v>
      </c>
      <c r="D60" s="22" t="s">
        <v>10</v>
      </c>
      <c r="E60" s="23" t="n">
        <v>31324</v>
      </c>
      <c r="F60" s="16" t="n">
        <f aca="false">DATEDIF(E60, "12/31/2025", "Y")</f>
        <v>40</v>
      </c>
      <c r="G60" s="16" t="n">
        <f aca="false">DATEDIF(C60, "12/31/2025", "Y")</f>
        <v>10</v>
      </c>
      <c r="H60" s="17" t="n">
        <f aca="false">_xlfn.IFS( G60&lt;10, 0, G60&lt;20, 0.45, G60&lt;30, 0.65, G60&lt;40, 0.85, G60&gt;=40, 1 )</f>
        <v>0.45</v>
      </c>
      <c r="I60" s="18" t="n">
        <f aca="false">_xlfn.IFS( G60&lt;10, 1, G60&lt;20, 2, G60&lt;30, 3, G60&lt;40, 4, G60&gt;=40, 5 )</f>
        <v>2</v>
      </c>
    </row>
    <row r="61" customFormat="false" ht="13.5" hidden="false" customHeight="true" outlineLevel="0" collapsed="false">
      <c r="A61" s="11" t="n">
        <f aca="false">+A60+1</f>
        <v>60</v>
      </c>
      <c r="B61" s="20" t="n">
        <v>446583.35</v>
      </c>
      <c r="C61" s="21" t="n">
        <v>42373</v>
      </c>
      <c r="D61" s="22" t="s">
        <v>9</v>
      </c>
      <c r="E61" s="23" t="n">
        <v>31291</v>
      </c>
      <c r="F61" s="16" t="n">
        <f aca="false">DATEDIF(E61, "12/31/2025", "Y")</f>
        <v>40</v>
      </c>
      <c r="G61" s="16" t="n">
        <f aca="false">DATEDIF(C61, "12/31/2025", "Y")</f>
        <v>9</v>
      </c>
      <c r="H61" s="17" t="n">
        <f aca="false">_xlfn.IFS( G61&lt;10, 0, G61&lt;20, 0.45, G61&lt;30, 0.65, G61&lt;40, 0.85, G61&gt;=40, 1 )</f>
        <v>0</v>
      </c>
      <c r="I61" s="18" t="n">
        <f aca="false">_xlfn.IFS( G61&lt;10, 1, G61&lt;20, 2, G61&lt;30, 3, G61&lt;40, 4, G61&gt;=40, 5 )</f>
        <v>1</v>
      </c>
    </row>
    <row r="62" customFormat="false" ht="13.5" hidden="false" customHeight="true" outlineLevel="0" collapsed="false">
      <c r="A62" s="11" t="n">
        <f aca="false">+A61+1</f>
        <v>61</v>
      </c>
      <c r="B62" s="20" t="n">
        <v>506678.9</v>
      </c>
      <c r="C62" s="21" t="n">
        <v>42625</v>
      </c>
      <c r="D62" s="22" t="s">
        <v>9</v>
      </c>
      <c r="E62" s="23" t="n">
        <v>33999</v>
      </c>
      <c r="F62" s="16" t="n">
        <f aca="false">DATEDIF(E62, "12/31/2025", "Y")</f>
        <v>32</v>
      </c>
      <c r="G62" s="16" t="n">
        <f aca="false">DATEDIF(C62, "12/31/2025", "Y")</f>
        <v>9</v>
      </c>
      <c r="H62" s="17" t="n">
        <f aca="false">_xlfn.IFS( G62&lt;10, 0, G62&lt;20, 0.45, G62&lt;30, 0.65, G62&lt;40, 0.85, G62&gt;=40, 1 )</f>
        <v>0</v>
      </c>
      <c r="I62" s="18" t="n">
        <f aca="false">_xlfn.IFS( G62&lt;10, 1, G62&lt;20, 2, G62&lt;30, 3, G62&lt;40, 4, G62&gt;=40, 5 )</f>
        <v>1</v>
      </c>
    </row>
    <row r="63" customFormat="false" ht="13.5" hidden="false" customHeight="true" outlineLevel="0" collapsed="false">
      <c r="A63" s="11" t="n">
        <f aca="false">+A62+1</f>
        <v>62</v>
      </c>
      <c r="B63" s="20" t="n">
        <v>816285.34</v>
      </c>
      <c r="C63" s="21" t="n">
        <v>42522</v>
      </c>
      <c r="D63" s="22" t="s">
        <v>10</v>
      </c>
      <c r="E63" s="23" t="n">
        <v>33532</v>
      </c>
      <c r="F63" s="16" t="n">
        <f aca="false">DATEDIF(E63, "12/31/2025", "Y")</f>
        <v>34</v>
      </c>
      <c r="G63" s="16" t="n">
        <f aca="false">DATEDIF(C63, "12/31/2025", "Y")</f>
        <v>9</v>
      </c>
      <c r="H63" s="17" t="n">
        <f aca="false">_xlfn.IFS( G63&lt;10, 0, G63&lt;20, 0.45, G63&lt;30, 0.65, G63&lt;40, 0.85, G63&gt;=40, 1 )</f>
        <v>0</v>
      </c>
      <c r="I63" s="18" t="n">
        <f aca="false">_xlfn.IFS( G63&lt;10, 1, G63&lt;20, 2, G63&lt;30, 3, G63&lt;40, 4, G63&gt;=40, 5 )</f>
        <v>1</v>
      </c>
    </row>
    <row r="64" customFormat="false" ht="13.5" hidden="false" customHeight="true" outlineLevel="0" collapsed="false">
      <c r="A64" s="11" t="n">
        <f aca="false">+A63+1</f>
        <v>63</v>
      </c>
      <c r="B64" s="20" t="n">
        <v>774923</v>
      </c>
      <c r="C64" s="21" t="n">
        <v>45566</v>
      </c>
      <c r="D64" s="22" t="s">
        <v>10</v>
      </c>
      <c r="E64" s="23" t="n">
        <v>33357</v>
      </c>
      <c r="F64" s="16" t="n">
        <f aca="false">DATEDIF(E64, "12/31/2025", "Y")</f>
        <v>34</v>
      </c>
      <c r="G64" s="16" t="n">
        <f aca="false">DATEDIF(C64, "12/31/2025", "Y")</f>
        <v>1</v>
      </c>
      <c r="H64" s="17" t="n">
        <f aca="false">_xlfn.IFS( G64&lt;10, 0, G64&lt;20, 0.45, G64&lt;30, 0.65, G64&lt;40, 0.85, G64&gt;=40, 1 )</f>
        <v>0</v>
      </c>
      <c r="I64" s="18" t="n">
        <f aca="false">_xlfn.IFS( G64&lt;10, 1, G64&lt;20, 2, G64&lt;30, 3, G64&lt;40, 4, G64&gt;=40, 5 )</f>
        <v>1</v>
      </c>
    </row>
    <row r="65" customFormat="false" ht="13.5" hidden="false" customHeight="true" outlineLevel="0" collapsed="false">
      <c r="A65" s="11" t="n">
        <f aca="false">+A64+1</f>
        <v>64</v>
      </c>
      <c r="B65" s="20" t="n">
        <v>366008.15</v>
      </c>
      <c r="C65" s="21" t="n">
        <v>42605</v>
      </c>
      <c r="D65" s="22" t="s">
        <v>10</v>
      </c>
      <c r="E65" s="23" t="n">
        <v>27793</v>
      </c>
      <c r="F65" s="16" t="n">
        <f aca="false">DATEDIF(E65, "12/31/2025", "Y")</f>
        <v>49</v>
      </c>
      <c r="G65" s="16" t="n">
        <f aca="false">DATEDIF(C65, "12/31/2025", "Y")</f>
        <v>9</v>
      </c>
      <c r="H65" s="17" t="n">
        <f aca="false">_xlfn.IFS( G65&lt;10, 0, G65&lt;20, 0.45, G65&lt;30, 0.65, G65&lt;40, 0.85, G65&gt;=40, 1 )</f>
        <v>0</v>
      </c>
      <c r="I65" s="18" t="n">
        <f aca="false">_xlfn.IFS( G65&lt;10, 1, G65&lt;20, 2, G65&lt;30, 3, G65&lt;40, 4, G65&gt;=40, 5 )</f>
        <v>1</v>
      </c>
    </row>
    <row r="66" customFormat="false" ht="13.5" hidden="false" customHeight="true" outlineLevel="0" collapsed="false">
      <c r="A66" s="11" t="n">
        <f aca="false">+A65+1</f>
        <v>65</v>
      </c>
      <c r="B66" s="20" t="n">
        <v>660469.75</v>
      </c>
      <c r="C66" s="21" t="n">
        <v>42585</v>
      </c>
      <c r="D66" s="22" t="s">
        <v>10</v>
      </c>
      <c r="E66" s="23" t="n">
        <v>32812</v>
      </c>
      <c r="F66" s="16" t="n">
        <f aca="false">DATEDIF(E66, "12/31/2025", "Y")</f>
        <v>36</v>
      </c>
      <c r="G66" s="16" t="n">
        <f aca="false">DATEDIF(C66, "12/31/2025", "Y")</f>
        <v>9</v>
      </c>
      <c r="H66" s="17" t="n">
        <f aca="false">_xlfn.IFS( G66&lt;10, 0, G66&lt;20, 0.45, G66&lt;30, 0.65, G66&lt;40, 0.85, G66&gt;=40, 1 )</f>
        <v>0</v>
      </c>
      <c r="I66" s="18" t="n">
        <f aca="false">_xlfn.IFS( G66&lt;10, 1, G66&lt;20, 2, G66&lt;30, 3, G66&lt;40, 4, G66&gt;=40, 5 )</f>
        <v>1</v>
      </c>
    </row>
    <row r="67" customFormat="false" ht="13.5" hidden="false" customHeight="true" outlineLevel="0" collapsed="false">
      <c r="A67" s="11" t="n">
        <f aca="false">+A66+1</f>
        <v>66</v>
      </c>
      <c r="B67" s="20" t="n">
        <v>164482.85</v>
      </c>
      <c r="C67" s="21" t="n">
        <v>44621</v>
      </c>
      <c r="D67" s="22" t="s">
        <v>9</v>
      </c>
      <c r="E67" s="23" t="n">
        <v>36272</v>
      </c>
      <c r="F67" s="16" t="n">
        <f aca="false">DATEDIF(E67, "12/31/2025", "Y")</f>
        <v>26</v>
      </c>
      <c r="G67" s="16" t="n">
        <f aca="false">DATEDIF(C67, "12/31/2025", "Y")</f>
        <v>3</v>
      </c>
      <c r="H67" s="17" t="n">
        <f aca="false">_xlfn.IFS( G67&lt;10, 0, G67&lt;20, 0.45, G67&lt;30, 0.65, G67&lt;40, 0.85, G67&gt;=40, 1 )</f>
        <v>0</v>
      </c>
      <c r="I67" s="18" t="n">
        <f aca="false">_xlfn.IFS( G67&lt;10, 1, G67&lt;20, 2, G67&lt;30, 3, G67&lt;40, 4, G67&gt;=40, 5 )</f>
        <v>1</v>
      </c>
    </row>
    <row r="68" customFormat="false" ht="13.5" hidden="false" customHeight="true" outlineLevel="0" collapsed="false">
      <c r="A68" s="11" t="n">
        <f aca="false">+A67+1</f>
        <v>67</v>
      </c>
      <c r="B68" s="20" t="n">
        <v>486202</v>
      </c>
      <c r="C68" s="21" t="n">
        <v>42611</v>
      </c>
      <c r="D68" s="22" t="s">
        <v>10</v>
      </c>
      <c r="E68" s="23" t="n">
        <v>31261</v>
      </c>
      <c r="F68" s="16" t="n">
        <f aca="false">DATEDIF(E68, "12/31/2025", "Y")</f>
        <v>40</v>
      </c>
      <c r="G68" s="16" t="n">
        <f aca="false">DATEDIF(C68, "12/31/2025", "Y")</f>
        <v>9</v>
      </c>
      <c r="H68" s="17" t="n">
        <f aca="false">_xlfn.IFS( G68&lt;10, 0, G68&lt;20, 0.45, G68&lt;30, 0.65, G68&lt;40, 0.85, G68&gt;=40, 1 )</f>
        <v>0</v>
      </c>
      <c r="I68" s="18" t="n">
        <f aca="false">_xlfn.IFS( G68&lt;10, 1, G68&lt;20, 2, G68&lt;30, 3, G68&lt;40, 4, G68&gt;=40, 5 )</f>
        <v>1</v>
      </c>
    </row>
    <row r="69" customFormat="false" ht="13.5" hidden="false" customHeight="true" outlineLevel="0" collapsed="false">
      <c r="A69" s="11" t="n">
        <f aca="false">+A68+1</f>
        <v>68</v>
      </c>
      <c r="B69" s="20" t="n">
        <v>618015</v>
      </c>
      <c r="C69" s="21" t="n">
        <v>42767</v>
      </c>
      <c r="D69" s="22" t="s">
        <v>9</v>
      </c>
      <c r="E69" s="23" t="n">
        <v>35894</v>
      </c>
      <c r="F69" s="16" t="n">
        <f aca="false">DATEDIF(E69, "12/31/2025", "Y")</f>
        <v>27</v>
      </c>
      <c r="G69" s="16" t="n">
        <f aca="false">DATEDIF(C69, "12/31/2025", "Y")</f>
        <v>8</v>
      </c>
      <c r="H69" s="17" t="n">
        <f aca="false">_xlfn.IFS( G69&lt;10, 0, G69&lt;20, 0.45, G69&lt;30, 0.65, G69&lt;40, 0.85, G69&gt;=40, 1 )</f>
        <v>0</v>
      </c>
      <c r="I69" s="18" t="n">
        <f aca="false">_xlfn.IFS( G69&lt;10, 1, G69&lt;20, 2, G69&lt;30, 3, G69&lt;40, 4, G69&gt;=40, 5 )</f>
        <v>1</v>
      </c>
    </row>
    <row r="70" customFormat="false" ht="13.5" hidden="false" customHeight="true" outlineLevel="0" collapsed="false">
      <c r="A70" s="11" t="n">
        <f aca="false">+A69+1</f>
        <v>69</v>
      </c>
      <c r="B70" s="20" t="n">
        <v>328849.5</v>
      </c>
      <c r="C70" s="21" t="n">
        <v>42688</v>
      </c>
      <c r="D70" s="22" t="s">
        <v>10</v>
      </c>
      <c r="E70" s="23" t="n">
        <v>26147</v>
      </c>
      <c r="F70" s="16" t="n">
        <f aca="false">DATEDIF(E70, "12/31/2025", "Y")</f>
        <v>54</v>
      </c>
      <c r="G70" s="16" t="n">
        <f aca="false">DATEDIF(C70, "12/31/2025", "Y")</f>
        <v>9</v>
      </c>
      <c r="H70" s="17" t="n">
        <f aca="false">_xlfn.IFS( G70&lt;10, 0, G70&lt;20, 0.45, G70&lt;30, 0.65, G70&lt;40, 0.85, G70&gt;=40, 1 )</f>
        <v>0</v>
      </c>
      <c r="I70" s="18" t="n">
        <f aca="false">_xlfn.IFS( G70&lt;10, 1, G70&lt;20, 2, G70&lt;30, 3, G70&lt;40, 4, G70&gt;=40, 5 )</f>
        <v>1</v>
      </c>
    </row>
    <row r="71" customFormat="false" ht="13.5" hidden="false" customHeight="true" outlineLevel="0" collapsed="false">
      <c r="A71" s="11" t="n">
        <f aca="false">+A70+1</f>
        <v>70</v>
      </c>
      <c r="B71" s="20" t="n">
        <v>1875335.6</v>
      </c>
      <c r="C71" s="21" t="n">
        <v>44562</v>
      </c>
      <c r="D71" s="22" t="s">
        <v>9</v>
      </c>
      <c r="E71" s="23" t="n">
        <v>33864</v>
      </c>
      <c r="F71" s="16" t="n">
        <f aca="false">DATEDIF(E71, "12/31/2025", "Y")</f>
        <v>33</v>
      </c>
      <c r="G71" s="16" t="n">
        <f aca="false">DATEDIF(C71, "12/31/2025", "Y")</f>
        <v>3</v>
      </c>
      <c r="H71" s="17" t="n">
        <f aca="false">_xlfn.IFS( G71&lt;10, 0, G71&lt;20, 0.45, G71&lt;30, 0.65, G71&lt;40, 0.85, G71&gt;=40, 1 )</f>
        <v>0</v>
      </c>
      <c r="I71" s="18" t="n">
        <f aca="false">_xlfn.IFS( G71&lt;10, 1, G71&lt;20, 2, G71&lt;30, 3, G71&lt;40, 4, G71&gt;=40, 5 )</f>
        <v>1</v>
      </c>
    </row>
    <row r="72" customFormat="false" ht="13.5" hidden="false" customHeight="true" outlineLevel="0" collapsed="false">
      <c r="A72" s="11" t="n">
        <f aca="false">+A71+1</f>
        <v>71</v>
      </c>
      <c r="B72" s="20" t="n">
        <v>774923</v>
      </c>
      <c r="C72" s="21" t="n">
        <v>44562</v>
      </c>
      <c r="D72" s="22" t="s">
        <v>9</v>
      </c>
      <c r="E72" s="23" t="n">
        <v>33800</v>
      </c>
      <c r="F72" s="16" t="n">
        <f aca="false">DATEDIF(E72, "12/31/2025", "Y")</f>
        <v>33</v>
      </c>
      <c r="G72" s="16" t="n">
        <f aca="false">DATEDIF(C72, "12/31/2025", "Y")</f>
        <v>3</v>
      </c>
      <c r="H72" s="17" t="n">
        <f aca="false">_xlfn.IFS( G72&lt;10, 0, G72&lt;20, 0.45, G72&lt;30, 0.65, G72&lt;40, 0.85, G72&gt;=40, 1 )</f>
        <v>0</v>
      </c>
      <c r="I72" s="18" t="n">
        <f aca="false">_xlfn.IFS( G72&lt;10, 1, G72&lt;20, 2, G72&lt;30, 3, G72&lt;40, 4, G72&gt;=40, 5 )</f>
        <v>1</v>
      </c>
    </row>
    <row r="73" customFormat="false" ht="13.5" hidden="false" customHeight="true" outlineLevel="0" collapsed="false">
      <c r="A73" s="11" t="n">
        <f aca="false">+A72+1</f>
        <v>72</v>
      </c>
      <c r="B73" s="20" t="n">
        <v>428306.2</v>
      </c>
      <c r="C73" s="21" t="n">
        <v>43399</v>
      </c>
      <c r="D73" s="22" t="s">
        <v>10</v>
      </c>
      <c r="E73" s="23" t="n">
        <v>32659</v>
      </c>
      <c r="F73" s="16" t="n">
        <f aca="false">DATEDIF(E73, "12/31/2025", "Y")</f>
        <v>36</v>
      </c>
      <c r="G73" s="16" t="n">
        <f aca="false">DATEDIF(C73, "12/31/2025", "Y")</f>
        <v>7</v>
      </c>
      <c r="H73" s="17" t="n">
        <f aca="false">_xlfn.IFS( G73&lt;10, 0, G73&lt;20, 0.45, G73&lt;30, 0.65, G73&lt;40, 0.85, G73&gt;=40, 1 )</f>
        <v>0</v>
      </c>
      <c r="I73" s="18" t="n">
        <f aca="false">_xlfn.IFS( G73&lt;10, 1, G73&lt;20, 2, G73&lt;30, 3, G73&lt;40, 4, G73&gt;=40, 5 )</f>
        <v>1</v>
      </c>
    </row>
    <row r="74" customFormat="false" ht="13.5" hidden="false" customHeight="true" outlineLevel="0" collapsed="false">
      <c r="A74" s="11" t="n">
        <f aca="false">+A73+1</f>
        <v>73</v>
      </c>
      <c r="B74" s="20" t="n">
        <v>716984</v>
      </c>
      <c r="C74" s="21" t="n">
        <v>42905</v>
      </c>
      <c r="D74" s="22" t="s">
        <v>9</v>
      </c>
      <c r="E74" s="23" t="n">
        <v>33822</v>
      </c>
      <c r="F74" s="16" t="n">
        <f aca="false">DATEDIF(E74, "12/31/2025", "Y")</f>
        <v>33</v>
      </c>
      <c r="G74" s="16" t="n">
        <f aca="false">DATEDIF(C74, "12/31/2025", "Y")</f>
        <v>8</v>
      </c>
      <c r="H74" s="17" t="n">
        <f aca="false">_xlfn.IFS( G74&lt;10, 0, G74&lt;20, 0.45, G74&lt;30, 0.65, G74&lt;40, 0.85, G74&gt;=40, 1 )</f>
        <v>0</v>
      </c>
      <c r="I74" s="18" t="n">
        <f aca="false">_xlfn.IFS( G74&lt;10, 1, G74&lt;20, 2, G74&lt;30, 3, G74&lt;40, 4, G74&gt;=40, 5 )</f>
        <v>1</v>
      </c>
    </row>
    <row r="75" customFormat="false" ht="13.5" hidden="false" customHeight="true" outlineLevel="0" collapsed="false">
      <c r="A75" s="11" t="n">
        <f aca="false">+A74+1</f>
        <v>74</v>
      </c>
      <c r="B75" s="20" t="n">
        <v>878383.6</v>
      </c>
      <c r="C75" s="21" t="n">
        <v>45667</v>
      </c>
      <c r="D75" s="22" t="s">
        <v>9</v>
      </c>
      <c r="E75" s="23" t="n">
        <v>31749</v>
      </c>
      <c r="F75" s="16" t="n">
        <f aca="false">DATEDIF(E75, "12/31/2025", "Y")</f>
        <v>39</v>
      </c>
      <c r="G75" s="16" t="n">
        <f aca="false">DATEDIF(C75, "12/31/2025", "Y")</f>
        <v>0</v>
      </c>
      <c r="H75" s="17" t="n">
        <f aca="false">_xlfn.IFS( G75&lt;10, 0, G75&lt;20, 0.45, G75&lt;30, 0.65, G75&lt;40, 0.85, G75&gt;=40, 1 )</f>
        <v>0</v>
      </c>
      <c r="I75" s="18" t="n">
        <f aca="false">_xlfn.IFS( G75&lt;10, 1, G75&lt;20, 2, G75&lt;30, 3, G75&lt;40, 4, G75&gt;=40, 5 )</f>
        <v>1</v>
      </c>
    </row>
    <row r="76" customFormat="false" ht="13.5" hidden="false" customHeight="true" outlineLevel="0" collapsed="false">
      <c r="A76" s="11" t="n">
        <f aca="false">+A75+1</f>
        <v>75</v>
      </c>
      <c r="B76" s="20" t="n">
        <v>834349</v>
      </c>
      <c r="C76" s="21" t="n">
        <v>44713</v>
      </c>
      <c r="D76" s="22" t="s">
        <v>9</v>
      </c>
      <c r="E76" s="23" t="n">
        <v>32589</v>
      </c>
      <c r="F76" s="16" t="n">
        <f aca="false">DATEDIF(E76, "12/31/2025", "Y")</f>
        <v>36</v>
      </c>
      <c r="G76" s="16" t="n">
        <f aca="false">DATEDIF(C76, "12/31/2025", "Y")</f>
        <v>3</v>
      </c>
      <c r="H76" s="17" t="n">
        <f aca="false">_xlfn.IFS( G76&lt;10, 0, G76&lt;20, 0.45, G76&lt;30, 0.65, G76&lt;40, 0.85, G76&gt;=40, 1 )</f>
        <v>0</v>
      </c>
      <c r="I76" s="18" t="n">
        <f aca="false">_xlfn.IFS( G76&lt;10, 1, G76&lt;20, 2, G76&lt;30, 3, G76&lt;40, 4, G76&gt;=40, 5 )</f>
        <v>1</v>
      </c>
    </row>
    <row r="77" customFormat="false" ht="13.5" hidden="false" customHeight="true" outlineLevel="0" collapsed="false">
      <c r="A77" s="11" t="n">
        <f aca="false">+A76+1</f>
        <v>76</v>
      </c>
      <c r="B77" s="20" t="n">
        <v>138296.25</v>
      </c>
      <c r="C77" s="21" t="n">
        <v>42933</v>
      </c>
      <c r="D77" s="22" t="s">
        <v>10</v>
      </c>
      <c r="E77" s="23" t="n">
        <v>30261</v>
      </c>
      <c r="F77" s="16" t="n">
        <f aca="false">DATEDIF(E77, "12/31/2025", "Y")</f>
        <v>43</v>
      </c>
      <c r="G77" s="16" t="n">
        <f aca="false">DATEDIF(C77, "12/31/2025", "Y")</f>
        <v>8</v>
      </c>
      <c r="H77" s="17" t="n">
        <f aca="false">_xlfn.IFS( G77&lt;10, 0, G77&lt;20, 0.45, G77&lt;30, 0.65, G77&lt;40, 0.85, G77&gt;=40, 1 )</f>
        <v>0</v>
      </c>
      <c r="I77" s="18" t="n">
        <f aca="false">_xlfn.IFS( G77&lt;10, 1, G77&lt;20, 2, G77&lt;30, 3, G77&lt;40, 4, G77&gt;=40, 5 )</f>
        <v>1</v>
      </c>
    </row>
    <row r="78" customFormat="false" ht="13.5" hidden="false" customHeight="true" outlineLevel="0" collapsed="false">
      <c r="A78" s="11" t="n">
        <f aca="false">+A77+1</f>
        <v>77</v>
      </c>
      <c r="B78" s="20" t="n">
        <v>917469.45</v>
      </c>
      <c r="C78" s="21" t="n">
        <v>44682</v>
      </c>
      <c r="D78" s="22" t="s">
        <v>10</v>
      </c>
      <c r="E78" s="23" t="n">
        <v>29235</v>
      </c>
      <c r="F78" s="16" t="n">
        <f aca="false">DATEDIF(E78, "12/31/2025", "Y")</f>
        <v>45</v>
      </c>
      <c r="G78" s="16" t="n">
        <f aca="false">DATEDIF(C78, "12/31/2025", "Y")</f>
        <v>3</v>
      </c>
      <c r="H78" s="17" t="n">
        <f aca="false">_xlfn.IFS( G78&lt;10, 0, G78&lt;20, 0.45, G78&lt;30, 0.65, G78&lt;40, 0.85, G78&gt;=40, 1 )</f>
        <v>0</v>
      </c>
      <c r="I78" s="18" t="n">
        <f aca="false">_xlfn.IFS( G78&lt;10, 1, G78&lt;20, 2, G78&lt;30, 3, G78&lt;40, 4, G78&gt;=40, 5 )</f>
        <v>1</v>
      </c>
    </row>
    <row r="79" customFormat="false" ht="13.5" hidden="false" customHeight="true" outlineLevel="0" collapsed="false">
      <c r="A79" s="11" t="n">
        <f aca="false">+A78+1</f>
        <v>78</v>
      </c>
      <c r="B79" s="20" t="n">
        <v>958611.95</v>
      </c>
      <c r="C79" s="21" t="n">
        <v>45397</v>
      </c>
      <c r="D79" s="22" t="s">
        <v>10</v>
      </c>
      <c r="E79" s="23" t="n">
        <v>33046</v>
      </c>
      <c r="F79" s="16" t="n">
        <f aca="false">DATEDIF(E79, "12/31/2025", "Y")</f>
        <v>35</v>
      </c>
      <c r="G79" s="16" t="n">
        <f aca="false">DATEDIF(C79, "12/31/2025", "Y")</f>
        <v>1</v>
      </c>
      <c r="H79" s="17" t="n">
        <f aca="false">_xlfn.IFS( G79&lt;10, 0, G79&lt;20, 0.45, G79&lt;30, 0.65, G79&lt;40, 0.85, G79&gt;=40, 1 )</f>
        <v>0</v>
      </c>
      <c r="I79" s="18" t="n">
        <f aca="false">_xlfn.IFS( G79&lt;10, 1, G79&lt;20, 2, G79&lt;30, 3, G79&lt;40, 4, G79&gt;=40, 5 )</f>
        <v>1</v>
      </c>
    </row>
    <row r="80" customFormat="false" ht="13.5" hidden="false" customHeight="true" outlineLevel="0" collapsed="false">
      <c r="A80" s="11" t="n">
        <f aca="false">+A79+1</f>
        <v>79</v>
      </c>
      <c r="B80" s="20" t="n">
        <v>3075435.7</v>
      </c>
      <c r="C80" s="21" t="n">
        <v>43074</v>
      </c>
      <c r="D80" s="22" t="s">
        <v>9</v>
      </c>
      <c r="E80" s="23" t="n">
        <v>36149</v>
      </c>
      <c r="F80" s="16" t="n">
        <f aca="false">DATEDIF(E80, "12/31/2025", "Y")</f>
        <v>27</v>
      </c>
      <c r="G80" s="16" t="n">
        <f aca="false">DATEDIF(C80, "12/31/2025", "Y")</f>
        <v>8</v>
      </c>
      <c r="H80" s="17" t="n">
        <f aca="false">_xlfn.IFS( G80&lt;10, 0, G80&lt;20, 0.45, G80&lt;30, 0.65, G80&lt;40, 0.85, G80&gt;=40, 1 )</f>
        <v>0</v>
      </c>
      <c r="I80" s="18" t="n">
        <f aca="false">_xlfn.IFS( G80&lt;10, 1, G80&lt;20, 2, G80&lt;30, 3, G80&lt;40, 4, G80&gt;=40, 5 )</f>
        <v>1</v>
      </c>
    </row>
    <row r="81" customFormat="false" ht="13.5" hidden="false" customHeight="true" outlineLevel="0" collapsed="false">
      <c r="A81" s="11" t="n">
        <f aca="false">+A80+1</f>
        <v>80</v>
      </c>
      <c r="B81" s="20" t="n">
        <v>675154.3</v>
      </c>
      <c r="C81" s="21" t="n">
        <v>43305</v>
      </c>
      <c r="D81" s="22" t="s">
        <v>10</v>
      </c>
      <c r="E81" s="23" t="n">
        <v>34016</v>
      </c>
      <c r="F81" s="16" t="n">
        <f aca="false">DATEDIF(E81, "12/31/2025", "Y")</f>
        <v>32</v>
      </c>
      <c r="G81" s="16" t="n">
        <f aca="false">DATEDIF(C81, "12/31/2025", "Y")</f>
        <v>7</v>
      </c>
      <c r="H81" s="17" t="n">
        <f aca="false">_xlfn.IFS( G81&lt;10, 0, G81&lt;20, 0.45, G81&lt;30, 0.65, G81&lt;40, 0.85, G81&gt;=40, 1 )</f>
        <v>0</v>
      </c>
      <c r="I81" s="18" t="n">
        <f aca="false">_xlfn.IFS( G81&lt;10, 1, G81&lt;20, 2, G81&lt;30, 3, G81&lt;40, 4, G81&gt;=40, 5 )</f>
        <v>1</v>
      </c>
    </row>
    <row r="82" customFormat="false" ht="13.5" hidden="false" customHeight="true" outlineLevel="0" collapsed="false">
      <c r="A82" s="11" t="n">
        <f aca="false">+A81+1</f>
        <v>81</v>
      </c>
      <c r="B82" s="20" t="n">
        <v>432282.8</v>
      </c>
      <c r="C82" s="21" t="n">
        <v>43635</v>
      </c>
      <c r="D82" s="22" t="s">
        <v>10</v>
      </c>
      <c r="E82" s="23" t="n">
        <v>35648</v>
      </c>
      <c r="F82" s="16" t="n">
        <f aca="false">DATEDIF(E82, "12/31/2025", "Y")</f>
        <v>28</v>
      </c>
      <c r="G82" s="16" t="n">
        <f aca="false">DATEDIF(C82, "12/31/2025", "Y")</f>
        <v>6</v>
      </c>
      <c r="H82" s="17" t="n">
        <f aca="false">_xlfn.IFS( G82&lt;10, 0, G82&lt;20, 0.45, G82&lt;30, 0.65, G82&lt;40, 0.85, G82&gt;=40, 1 )</f>
        <v>0</v>
      </c>
      <c r="I82" s="18" t="n">
        <f aca="false">_xlfn.IFS( G82&lt;10, 1, G82&lt;20, 2, G82&lt;30, 3, G82&lt;40, 4, G82&gt;=40, 5 )</f>
        <v>1</v>
      </c>
    </row>
    <row r="83" customFormat="false" ht="13.5" hidden="false" customHeight="true" outlineLevel="0" collapsed="false">
      <c r="A83" s="11" t="n">
        <f aca="false">+A82+1</f>
        <v>82</v>
      </c>
      <c r="B83" s="20" t="n">
        <v>557962</v>
      </c>
      <c r="C83" s="21" t="n">
        <v>43441</v>
      </c>
      <c r="D83" s="22" t="s">
        <v>10</v>
      </c>
      <c r="E83" s="23" t="n">
        <v>36513</v>
      </c>
      <c r="F83" s="16" t="n">
        <f aca="false">DATEDIF(E83, "12/31/2025", "Y")</f>
        <v>26</v>
      </c>
      <c r="G83" s="16" t="n">
        <f aca="false">DATEDIF(C83, "12/31/2025", "Y")</f>
        <v>7</v>
      </c>
      <c r="H83" s="17" t="n">
        <f aca="false">_xlfn.IFS( G83&lt;10, 0, G83&lt;20, 0.45, G83&lt;30, 0.65, G83&lt;40, 0.85, G83&gt;=40, 1 )</f>
        <v>0</v>
      </c>
      <c r="I83" s="18" t="n">
        <f aca="false">_xlfn.IFS( G83&lt;10, 1, G83&lt;20, 2, G83&lt;30, 3, G83&lt;40, 4, G83&gt;=40, 5 )</f>
        <v>1</v>
      </c>
    </row>
    <row r="84" customFormat="false" ht="13.5" hidden="false" customHeight="true" outlineLevel="0" collapsed="false">
      <c r="A84" s="11" t="n">
        <f aca="false">+A83+1</f>
        <v>83</v>
      </c>
      <c r="B84" s="20" t="n">
        <v>761827.61</v>
      </c>
      <c r="C84" s="21" t="n">
        <v>43446</v>
      </c>
      <c r="D84" s="22" t="s">
        <v>10</v>
      </c>
      <c r="E84" s="23" t="n">
        <v>33631</v>
      </c>
      <c r="F84" s="16" t="n">
        <f aca="false">DATEDIF(E84, "12/31/2025", "Y")</f>
        <v>33</v>
      </c>
      <c r="G84" s="16" t="n">
        <f aca="false">DATEDIF(C84, "12/31/2025", "Y")</f>
        <v>7</v>
      </c>
      <c r="H84" s="17" t="n">
        <f aca="false">_xlfn.IFS( G84&lt;10, 0, G84&lt;20, 0.45, G84&lt;30, 0.65, G84&lt;40, 0.85, G84&gt;=40, 1 )</f>
        <v>0</v>
      </c>
      <c r="I84" s="18" t="n">
        <f aca="false">_xlfn.IFS( G84&lt;10, 1, G84&lt;20, 2, G84&lt;30, 3, G84&lt;40, 4, G84&gt;=40, 5 )</f>
        <v>1</v>
      </c>
    </row>
    <row r="85" customFormat="false" ht="13.5" hidden="false" customHeight="true" outlineLevel="0" collapsed="false">
      <c r="A85" s="11" t="n">
        <f aca="false">+A84+1</f>
        <v>84</v>
      </c>
      <c r="B85" s="20" t="n">
        <v>666401</v>
      </c>
      <c r="C85" s="21" t="n">
        <v>43479</v>
      </c>
      <c r="D85" s="22" t="s">
        <v>9</v>
      </c>
      <c r="E85" s="23" t="n">
        <v>30574</v>
      </c>
      <c r="F85" s="16" t="n">
        <f aca="false">DATEDIF(E85, "12/31/2025", "Y")</f>
        <v>42</v>
      </c>
      <c r="G85" s="16" t="n">
        <f aca="false">DATEDIF(C85, "12/31/2025", "Y")</f>
        <v>6</v>
      </c>
      <c r="H85" s="17" t="n">
        <f aca="false">_xlfn.IFS( G85&lt;10, 0, G85&lt;20, 0.45, G85&lt;30, 0.65, G85&lt;40, 0.85, G85&gt;=40, 1 )</f>
        <v>0</v>
      </c>
      <c r="I85" s="18" t="n">
        <f aca="false">_xlfn.IFS( G85&lt;10, 1, G85&lt;20, 2, G85&lt;30, 3, G85&lt;40, 4, G85&gt;=40, 5 )</f>
        <v>1</v>
      </c>
    </row>
    <row r="86" customFormat="false" ht="13.5" hidden="false" customHeight="true" outlineLevel="0" collapsed="false">
      <c r="A86" s="11" t="n">
        <f aca="false">+A85+1</f>
        <v>85</v>
      </c>
      <c r="B86" s="20" t="n">
        <v>1631306.25</v>
      </c>
      <c r="C86" s="21" t="n">
        <v>43724</v>
      </c>
      <c r="D86" s="22" t="s">
        <v>10</v>
      </c>
      <c r="E86" s="23" t="n">
        <v>35448</v>
      </c>
      <c r="F86" s="16" t="n">
        <f aca="false">DATEDIF(E86, "12/31/2025", "Y")</f>
        <v>28</v>
      </c>
      <c r="G86" s="16" t="n">
        <f aca="false">DATEDIF(C86, "12/31/2025", "Y")</f>
        <v>6</v>
      </c>
      <c r="H86" s="17" t="n">
        <f aca="false">_xlfn.IFS( G86&lt;10, 0, G86&lt;20, 0.45, G86&lt;30, 0.65, G86&lt;40, 0.85, G86&gt;=40, 1 )</f>
        <v>0</v>
      </c>
      <c r="I86" s="18" t="n">
        <f aca="false">_xlfn.IFS( G86&lt;10, 1, G86&lt;20, 2, G86&lt;30, 3, G86&lt;40, 4, G86&gt;=40, 5 )</f>
        <v>1</v>
      </c>
    </row>
    <row r="87" customFormat="false" ht="13.5" hidden="false" customHeight="true" outlineLevel="0" collapsed="false">
      <c r="A87" s="11" t="n">
        <f aca="false">+A86+1</f>
        <v>86</v>
      </c>
      <c r="B87" s="20" t="n">
        <v>1841030.5</v>
      </c>
      <c r="C87" s="21" t="n">
        <v>43577</v>
      </c>
      <c r="D87" s="22" t="s">
        <v>9</v>
      </c>
      <c r="E87" s="23" t="n">
        <v>34755</v>
      </c>
      <c r="F87" s="16" t="n">
        <f aca="false">DATEDIF(E87, "12/31/2025", "Y")</f>
        <v>30</v>
      </c>
      <c r="G87" s="16" t="n">
        <f aca="false">DATEDIF(C87, "12/31/2025", "Y")</f>
        <v>6</v>
      </c>
      <c r="H87" s="17" t="n">
        <f aca="false">_xlfn.IFS( G87&lt;10, 0, G87&lt;20, 0.45, G87&lt;30, 0.65, G87&lt;40, 0.85, G87&gt;=40, 1 )</f>
        <v>0</v>
      </c>
      <c r="I87" s="18" t="n">
        <f aca="false">_xlfn.IFS( G87&lt;10, 1, G87&lt;20, 2, G87&lt;30, 3, G87&lt;40, 4, G87&gt;=40, 5 )</f>
        <v>1</v>
      </c>
    </row>
    <row r="88" customFormat="false" ht="13.5" hidden="false" customHeight="true" outlineLevel="0" collapsed="false">
      <c r="A88" s="11" t="n">
        <f aca="false">+A87+1</f>
        <v>87</v>
      </c>
      <c r="B88" s="20" t="n">
        <v>584767.85</v>
      </c>
      <c r="C88" s="21" t="n">
        <v>43633</v>
      </c>
      <c r="D88" s="22" t="s">
        <v>10</v>
      </c>
      <c r="E88" s="23" t="n">
        <v>31029</v>
      </c>
      <c r="F88" s="16" t="n">
        <f aca="false">DATEDIF(E88, "12/31/2025", "Y")</f>
        <v>41</v>
      </c>
      <c r="G88" s="16" t="n">
        <f aca="false">DATEDIF(C88, "12/31/2025", "Y")</f>
        <v>6</v>
      </c>
      <c r="H88" s="17" t="n">
        <f aca="false">_xlfn.IFS( G88&lt;10, 0, G88&lt;20, 0.45, G88&lt;30, 0.65, G88&lt;40, 0.85, G88&gt;=40, 1 )</f>
        <v>0</v>
      </c>
      <c r="I88" s="18" t="n">
        <f aca="false">_xlfn.IFS( G88&lt;10, 1, G88&lt;20, 2, G88&lt;30, 3, G88&lt;40, 4, G88&gt;=40, 5 )</f>
        <v>1</v>
      </c>
    </row>
    <row r="89" customFormat="false" ht="13.5" hidden="false" customHeight="true" outlineLevel="0" collapsed="false">
      <c r="A89" s="11" t="n">
        <f aca="false">+A88+1</f>
        <v>88</v>
      </c>
      <c r="B89" s="20" t="n">
        <v>745437.2</v>
      </c>
      <c r="C89" s="21" t="n">
        <v>43668</v>
      </c>
      <c r="D89" s="22" t="s">
        <v>9</v>
      </c>
      <c r="E89" s="23" t="n">
        <v>32863</v>
      </c>
      <c r="F89" s="16" t="n">
        <f aca="false">DATEDIF(E89, "12/31/2025", "Y")</f>
        <v>36</v>
      </c>
      <c r="G89" s="16" t="n">
        <f aca="false">DATEDIF(C89, "12/31/2025", "Y")</f>
        <v>6</v>
      </c>
      <c r="H89" s="17" t="n">
        <f aca="false">_xlfn.IFS( G89&lt;10, 0, G89&lt;20, 0.45, G89&lt;30, 0.65, G89&lt;40, 0.85, G89&gt;=40, 1 )</f>
        <v>0</v>
      </c>
      <c r="I89" s="18" t="n">
        <f aca="false">_xlfn.IFS( G89&lt;10, 1, G89&lt;20, 2, G89&lt;30, 3, G89&lt;40, 4, G89&gt;=40, 5 )</f>
        <v>1</v>
      </c>
    </row>
    <row r="90" customFormat="false" ht="13.5" hidden="false" customHeight="true" outlineLevel="0" collapsed="false">
      <c r="A90" s="11" t="n">
        <f aca="false">+A89+1</f>
        <v>89</v>
      </c>
      <c r="B90" s="20" t="n">
        <v>407087.15</v>
      </c>
      <c r="C90" s="21" t="n">
        <v>43675</v>
      </c>
      <c r="D90" s="22" t="s">
        <v>10</v>
      </c>
      <c r="E90" s="23" t="n">
        <v>32824</v>
      </c>
      <c r="F90" s="16" t="n">
        <f aca="false">DATEDIF(E90, "12/31/2025", "Y")</f>
        <v>36</v>
      </c>
      <c r="G90" s="16" t="n">
        <f aca="false">DATEDIF(C90, "12/31/2025", "Y")</f>
        <v>6</v>
      </c>
      <c r="H90" s="17" t="n">
        <f aca="false">_xlfn.IFS( G90&lt;10, 0, G90&lt;20, 0.45, G90&lt;30, 0.65, G90&lt;40, 0.85, G90&gt;=40, 1 )</f>
        <v>0</v>
      </c>
      <c r="I90" s="18" t="n">
        <f aca="false">_xlfn.IFS( G90&lt;10, 1, G90&lt;20, 2, G90&lt;30, 3, G90&lt;40, 4, G90&gt;=40, 5 )</f>
        <v>1</v>
      </c>
    </row>
    <row r="91" customFormat="false" ht="13.5" hidden="false" customHeight="true" outlineLevel="0" collapsed="false">
      <c r="A91" s="11" t="n">
        <f aca="false">+A90+1</f>
        <v>90</v>
      </c>
      <c r="B91" s="20" t="n">
        <v>406585.35</v>
      </c>
      <c r="C91" s="21" t="n">
        <v>43682</v>
      </c>
      <c r="D91" s="22" t="s">
        <v>9</v>
      </c>
      <c r="E91" s="23" t="n">
        <v>29564</v>
      </c>
      <c r="F91" s="16" t="n">
        <f aca="false">DATEDIF(E91, "12/31/2025", "Y")</f>
        <v>45</v>
      </c>
      <c r="G91" s="16" t="n">
        <f aca="false">DATEDIF(C91, "12/31/2025", "Y")</f>
        <v>6</v>
      </c>
      <c r="H91" s="17" t="n">
        <f aca="false">_xlfn.IFS( G91&lt;10, 0, G91&lt;20, 0.45, G91&lt;30, 0.65, G91&lt;40, 0.85, G91&gt;=40, 1 )</f>
        <v>0</v>
      </c>
      <c r="I91" s="18" t="n">
        <f aca="false">_xlfn.IFS( G91&lt;10, 1, G91&lt;20, 2, G91&lt;30, 3, G91&lt;40, 4, G91&gt;=40, 5 )</f>
        <v>1</v>
      </c>
    </row>
    <row r="92" customFormat="false" ht="13.5" hidden="false" customHeight="true" outlineLevel="0" collapsed="false">
      <c r="A92" s="11" t="n">
        <f aca="false">+A91+1</f>
        <v>91</v>
      </c>
      <c r="B92" s="20" t="n">
        <v>1919034.4</v>
      </c>
      <c r="C92" s="21" t="n">
        <v>43773</v>
      </c>
      <c r="D92" s="22" t="s">
        <v>10</v>
      </c>
      <c r="E92" s="23" t="n">
        <v>29748</v>
      </c>
      <c r="F92" s="16" t="n">
        <f aca="false">DATEDIF(E92, "12/31/2025", "Y")</f>
        <v>44</v>
      </c>
      <c r="G92" s="16" t="n">
        <f aca="false">DATEDIF(C92, "12/31/2025", "Y")</f>
        <v>6</v>
      </c>
      <c r="H92" s="17" t="n">
        <f aca="false">_xlfn.IFS( G92&lt;10, 0, G92&lt;20, 0.45, G92&lt;30, 0.65, G92&lt;40, 0.85, G92&gt;=40, 1 )</f>
        <v>0</v>
      </c>
      <c r="I92" s="18" t="n">
        <f aca="false">_xlfn.IFS( G92&lt;10, 1, G92&lt;20, 2, G92&lt;30, 3, G92&lt;40, 4, G92&gt;=40, 5 )</f>
        <v>1</v>
      </c>
    </row>
    <row r="93" customFormat="false" ht="13.5" hidden="false" customHeight="true" outlineLevel="0" collapsed="false">
      <c r="A93" s="11" t="n">
        <f aca="false">+A92+1</f>
        <v>92</v>
      </c>
      <c r="B93" s="20" t="n">
        <v>2105844.18</v>
      </c>
      <c r="C93" s="21" t="n">
        <v>43773</v>
      </c>
      <c r="D93" s="22" t="s">
        <v>9</v>
      </c>
      <c r="E93" s="23" t="n">
        <v>33754</v>
      </c>
      <c r="F93" s="16" t="n">
        <f aca="false">DATEDIF(E93, "12/31/2025", "Y")</f>
        <v>33</v>
      </c>
      <c r="G93" s="16" t="n">
        <f aca="false">DATEDIF(C93, "12/31/2025", "Y")</f>
        <v>6</v>
      </c>
      <c r="H93" s="17" t="n">
        <f aca="false">_xlfn.IFS( G93&lt;10, 0, G93&lt;20, 0.45, G93&lt;30, 0.65, G93&lt;40, 0.85, G93&gt;=40, 1 )</f>
        <v>0</v>
      </c>
      <c r="I93" s="18" t="n">
        <f aca="false">_xlfn.IFS( G93&lt;10, 1, G93&lt;20, 2, G93&lt;30, 3, G93&lt;40, 4, G93&gt;=40, 5 )</f>
        <v>1</v>
      </c>
    </row>
    <row r="94" customFormat="false" ht="13.5" hidden="false" customHeight="true" outlineLevel="0" collapsed="false">
      <c r="A94" s="11" t="n">
        <f aca="false">+A93+1</f>
        <v>93</v>
      </c>
      <c r="B94" s="20" t="n">
        <v>504290</v>
      </c>
      <c r="C94" s="21" t="n">
        <v>44116</v>
      </c>
      <c r="D94" s="22" t="s">
        <v>10</v>
      </c>
      <c r="E94" s="23" t="n">
        <v>35831</v>
      </c>
      <c r="F94" s="16" t="n">
        <f aca="false">DATEDIF(E94, "12/31/2025", "Y")</f>
        <v>27</v>
      </c>
      <c r="G94" s="16" t="n">
        <f aca="false">DATEDIF(C94, "12/31/2025", "Y")</f>
        <v>5</v>
      </c>
      <c r="H94" s="17" t="n">
        <f aca="false">_xlfn.IFS( G94&lt;10, 0, G94&lt;20, 0.45, G94&lt;30, 0.65, G94&lt;40, 0.85, G94&gt;=40, 1 )</f>
        <v>0</v>
      </c>
      <c r="I94" s="18" t="n">
        <f aca="false">_xlfn.IFS( G94&lt;10, 1, G94&lt;20, 2, G94&lt;30, 3, G94&lt;40, 4, G94&gt;=40, 5 )</f>
        <v>1</v>
      </c>
    </row>
    <row r="95" customFormat="false" ht="13.5" hidden="false" customHeight="true" outlineLevel="0" collapsed="false">
      <c r="A95" s="11" t="n">
        <f aca="false">+A94+1</f>
        <v>94</v>
      </c>
      <c r="B95" s="20" t="n">
        <v>892201.6</v>
      </c>
      <c r="C95" s="21" t="n">
        <v>44046</v>
      </c>
      <c r="D95" s="22" t="s">
        <v>9</v>
      </c>
      <c r="E95" s="23" t="n">
        <v>35293</v>
      </c>
      <c r="F95" s="16" t="n">
        <f aca="false">DATEDIF(E95, "12/31/2025", "Y")</f>
        <v>29</v>
      </c>
      <c r="G95" s="16" t="n">
        <f aca="false">DATEDIF(C95, "12/31/2025", "Y")</f>
        <v>5</v>
      </c>
      <c r="H95" s="17" t="n">
        <f aca="false">_xlfn.IFS( G95&lt;10, 0, G95&lt;20, 0.45, G95&lt;30, 0.65, G95&lt;40, 0.85, G95&gt;=40, 1 )</f>
        <v>0</v>
      </c>
      <c r="I95" s="18" t="n">
        <f aca="false">_xlfn.IFS( G95&lt;10, 1, G95&lt;20, 2, G95&lt;30, 3, G95&lt;40, 4, G95&gt;=40, 5 )</f>
        <v>1</v>
      </c>
    </row>
    <row r="96" customFormat="false" ht="13.5" hidden="false" customHeight="true" outlineLevel="0" collapsed="false">
      <c r="A96" s="11" t="n">
        <f aca="false">+A95+1</f>
        <v>95</v>
      </c>
      <c r="B96" s="20" t="n">
        <v>781943</v>
      </c>
      <c r="C96" s="21" t="n">
        <v>43802</v>
      </c>
      <c r="D96" s="22" t="s">
        <v>10</v>
      </c>
      <c r="E96" s="23" t="n">
        <v>28278</v>
      </c>
      <c r="F96" s="16" t="n">
        <f aca="false">DATEDIF(E96, "12/31/2025", "Y")</f>
        <v>48</v>
      </c>
      <c r="G96" s="16" t="n">
        <f aca="false">DATEDIF(C96, "12/31/2025", "Y")</f>
        <v>6</v>
      </c>
      <c r="H96" s="17" t="n">
        <f aca="false">_xlfn.IFS( G96&lt;10, 0, G96&lt;20, 0.45, G96&lt;30, 0.65, G96&lt;40, 0.85, G96&gt;=40, 1 )</f>
        <v>0</v>
      </c>
      <c r="I96" s="18" t="n">
        <f aca="false">_xlfn.IFS( G96&lt;10, 1, G96&lt;20, 2, G96&lt;30, 3, G96&lt;40, 4, G96&gt;=40, 5 )</f>
        <v>1</v>
      </c>
    </row>
    <row r="97" customFormat="false" ht="13.5" hidden="false" customHeight="true" outlineLevel="0" collapsed="false">
      <c r="A97" s="11" t="n">
        <f aca="false">+A96+1</f>
        <v>96</v>
      </c>
      <c r="B97" s="20" t="n">
        <v>704259</v>
      </c>
      <c r="C97" s="21" t="n">
        <v>43808</v>
      </c>
      <c r="D97" s="22" t="s">
        <v>10</v>
      </c>
      <c r="E97" s="23" t="n">
        <v>27467</v>
      </c>
      <c r="F97" s="16" t="n">
        <f aca="false">DATEDIF(E97, "12/31/2025", "Y")</f>
        <v>50</v>
      </c>
      <c r="G97" s="16" t="n">
        <f aca="false">DATEDIF(C97, "12/31/2025", "Y")</f>
        <v>6</v>
      </c>
      <c r="H97" s="17" t="n">
        <f aca="false">_xlfn.IFS( G97&lt;10, 0, G97&lt;20, 0.45, G97&lt;30, 0.65, G97&lt;40, 0.85, G97&gt;=40, 1 )</f>
        <v>0</v>
      </c>
      <c r="I97" s="18" t="n">
        <f aca="false">_xlfn.IFS( G97&lt;10, 1, G97&lt;20, 2, G97&lt;30, 3, G97&lt;40, 4, G97&gt;=40, 5 )</f>
        <v>1</v>
      </c>
    </row>
    <row r="98" customFormat="false" ht="13.5" hidden="false" customHeight="true" outlineLevel="0" collapsed="false">
      <c r="A98" s="11" t="n">
        <f aca="false">+A97+1</f>
        <v>97</v>
      </c>
      <c r="B98" s="20" t="n">
        <v>666401</v>
      </c>
      <c r="C98" s="21" t="n">
        <v>43836</v>
      </c>
      <c r="D98" s="22" t="s">
        <v>9</v>
      </c>
      <c r="E98" s="23" t="n">
        <v>28240</v>
      </c>
      <c r="F98" s="16" t="n">
        <f aca="false">DATEDIF(E98, "12/31/2025", "Y")</f>
        <v>48</v>
      </c>
      <c r="G98" s="16" t="n">
        <f aca="false">DATEDIF(C98, "12/31/2025", "Y")</f>
        <v>5</v>
      </c>
      <c r="H98" s="17" t="n">
        <f aca="false">_xlfn.IFS( G98&lt;10, 0, G98&lt;20, 0.45, G98&lt;30, 0.65, G98&lt;40, 0.85, G98&gt;=40, 1 )</f>
        <v>0</v>
      </c>
      <c r="I98" s="18" t="n">
        <f aca="false">_xlfn.IFS( G98&lt;10, 1, G98&lt;20, 2, G98&lt;30, 3, G98&lt;40, 4, G98&gt;=40, 5 )</f>
        <v>1</v>
      </c>
    </row>
    <row r="99" customFormat="false" ht="13.5" hidden="false" customHeight="true" outlineLevel="0" collapsed="false">
      <c r="A99" s="11" t="n">
        <f aca="false">+A98+1</f>
        <v>98</v>
      </c>
      <c r="B99" s="20" t="n">
        <v>324008.8</v>
      </c>
      <c r="C99" s="21" t="n">
        <v>43836</v>
      </c>
      <c r="D99" s="22" t="s">
        <v>10</v>
      </c>
      <c r="E99" s="23" t="n">
        <v>27751</v>
      </c>
      <c r="F99" s="16" t="n">
        <f aca="false">DATEDIF(E99, "12/31/2025", "Y")</f>
        <v>50</v>
      </c>
      <c r="G99" s="16" t="n">
        <f aca="false">DATEDIF(C99, "12/31/2025", "Y")</f>
        <v>5</v>
      </c>
      <c r="H99" s="17" t="n">
        <f aca="false">_xlfn.IFS( G99&lt;10, 0, G99&lt;20, 0.45, G99&lt;30, 0.65, G99&lt;40, 0.85, G99&gt;=40, 1 )</f>
        <v>0</v>
      </c>
      <c r="I99" s="18" t="n">
        <f aca="false">_xlfn.IFS( G99&lt;10, 1, G99&lt;20, 2, G99&lt;30, 3, G99&lt;40, 4, G99&gt;=40, 5 )</f>
        <v>1</v>
      </c>
    </row>
    <row r="100" customFormat="false" ht="13.5" hidden="false" customHeight="true" outlineLevel="0" collapsed="false">
      <c r="A100" s="11" t="n">
        <f aca="false">+A99+1</f>
        <v>99</v>
      </c>
      <c r="B100" s="20" t="n">
        <v>398650</v>
      </c>
      <c r="C100" s="21" t="n">
        <v>43836</v>
      </c>
      <c r="D100" s="22" t="s">
        <v>9</v>
      </c>
      <c r="E100" s="23" t="n">
        <v>27612</v>
      </c>
      <c r="F100" s="16" t="n">
        <f aca="false">DATEDIF(E100, "12/31/2025", "Y")</f>
        <v>50</v>
      </c>
      <c r="G100" s="16" t="n">
        <f aca="false">DATEDIF(C100, "12/31/2025", "Y")</f>
        <v>5</v>
      </c>
      <c r="H100" s="17" t="n">
        <f aca="false">_xlfn.IFS( G100&lt;10, 0, G100&lt;20, 0.45, G100&lt;30, 0.65, G100&lt;40, 0.85, G100&gt;=40, 1 )</f>
        <v>0</v>
      </c>
      <c r="I100" s="18" t="n">
        <f aca="false">_xlfn.IFS( G100&lt;10, 1, G100&lt;20, 2, G100&lt;30, 3, G100&lt;40, 4, G100&gt;=40, 5 )</f>
        <v>1</v>
      </c>
    </row>
    <row r="101" customFormat="false" ht="13.5" hidden="false" customHeight="true" outlineLevel="0" collapsed="false">
      <c r="A101" s="11" t="n">
        <f aca="false">+A100+1</f>
        <v>100</v>
      </c>
      <c r="B101" s="20" t="n">
        <v>885207.5</v>
      </c>
      <c r="C101" s="21" t="n">
        <v>44593</v>
      </c>
      <c r="D101" s="22" t="s">
        <v>10</v>
      </c>
      <c r="E101" s="23" t="n">
        <v>32777</v>
      </c>
      <c r="F101" s="16" t="n">
        <f aca="false">DATEDIF(E101, "12/31/2025", "Y")</f>
        <v>36</v>
      </c>
      <c r="G101" s="16" t="n">
        <f aca="false">DATEDIF(C101, "12/31/2025", "Y")</f>
        <v>3</v>
      </c>
      <c r="H101" s="17" t="n">
        <f aca="false">_xlfn.IFS( G101&lt;10, 0, G101&lt;20, 0.45, G101&lt;30, 0.65, G101&lt;40, 0.85, G101&gt;=40, 1 )</f>
        <v>0</v>
      </c>
      <c r="I101" s="18" t="n">
        <f aca="false">_xlfn.IFS( G101&lt;10, 1, G101&lt;20, 2, G101&lt;30, 3, G101&lt;40, 4, G101&gt;=40, 5 )</f>
        <v>1</v>
      </c>
    </row>
    <row r="102" customFormat="false" ht="13.5" hidden="false" customHeight="true" outlineLevel="0" collapsed="false">
      <c r="A102" s="11" t="n">
        <f aca="false">+A101+1</f>
        <v>101</v>
      </c>
      <c r="B102" s="20" t="n">
        <v>686648</v>
      </c>
      <c r="C102" s="21" t="n">
        <v>43836</v>
      </c>
      <c r="D102" s="22" t="s">
        <v>10</v>
      </c>
      <c r="E102" s="23" t="n">
        <v>27136</v>
      </c>
      <c r="F102" s="16" t="n">
        <f aca="false">DATEDIF(E102, "12/31/2025", "Y")</f>
        <v>51</v>
      </c>
      <c r="G102" s="16" t="n">
        <f aca="false">DATEDIF(C102, "12/31/2025", "Y")</f>
        <v>5</v>
      </c>
      <c r="H102" s="17" t="n">
        <f aca="false">_xlfn.IFS( G102&lt;10, 0, G102&lt;20, 0.45, G102&lt;30, 0.65, G102&lt;40, 0.85, G102&gt;=40, 1 )</f>
        <v>0</v>
      </c>
      <c r="I102" s="18" t="n">
        <f aca="false">_xlfn.IFS( G102&lt;10, 1, G102&lt;20, 2, G102&lt;30, 3, G102&lt;40, 4, G102&gt;=40, 5 )</f>
        <v>1</v>
      </c>
    </row>
    <row r="103" customFormat="false" ht="13.5" hidden="false" customHeight="true" outlineLevel="0" collapsed="false">
      <c r="A103" s="11" t="n">
        <f aca="false">+A102+1</f>
        <v>102</v>
      </c>
      <c r="B103" s="20" t="n">
        <v>617762</v>
      </c>
      <c r="C103" s="21" t="n">
        <v>44669</v>
      </c>
      <c r="D103" s="22" t="s">
        <v>9</v>
      </c>
      <c r="E103" s="23" t="n">
        <v>33566</v>
      </c>
      <c r="F103" s="16" t="n">
        <f aca="false">DATEDIF(E103, "12/31/2025", "Y")</f>
        <v>34</v>
      </c>
      <c r="G103" s="16" t="n">
        <f aca="false">DATEDIF(C103, "12/31/2025", "Y")</f>
        <v>3</v>
      </c>
      <c r="H103" s="17" t="n">
        <f aca="false">_xlfn.IFS( G103&lt;10, 0, G103&lt;20, 0.45, G103&lt;30, 0.65, G103&lt;40, 0.85, G103&gt;=40, 1 )</f>
        <v>0</v>
      </c>
      <c r="I103" s="18" t="n">
        <f aca="false">_xlfn.IFS( G103&lt;10, 1, G103&lt;20, 2, G103&lt;30, 3, G103&lt;40, 4, G103&gt;=40, 5 )</f>
        <v>1</v>
      </c>
    </row>
    <row r="104" customFormat="false" ht="13.5" hidden="false" customHeight="true" outlineLevel="0" collapsed="false">
      <c r="A104" s="11" t="n">
        <f aca="false">+A103+1</f>
        <v>103</v>
      </c>
      <c r="B104" s="20" t="n">
        <v>1650056.97</v>
      </c>
      <c r="C104" s="21" t="n">
        <v>44245</v>
      </c>
      <c r="D104" s="22" t="s">
        <v>9</v>
      </c>
      <c r="E104" s="23" t="n">
        <v>35111</v>
      </c>
      <c r="F104" s="16" t="n">
        <f aca="false">DATEDIF(E104, "12/31/2025", "Y")</f>
        <v>29</v>
      </c>
      <c r="G104" s="16" t="n">
        <f aca="false">DATEDIF(C104, "12/31/2025", "Y")</f>
        <v>4</v>
      </c>
      <c r="H104" s="17" t="n">
        <f aca="false">_xlfn.IFS( G104&lt;10, 0, G104&lt;20, 0.45, G104&lt;30, 0.65, G104&lt;40, 0.85, G104&gt;=40, 1 )</f>
        <v>0</v>
      </c>
      <c r="I104" s="18" t="n">
        <f aca="false">_xlfn.IFS( G104&lt;10, 1, G104&lt;20, 2, G104&lt;30, 3, G104&lt;40, 4, G104&gt;=40, 5 )</f>
        <v>1</v>
      </c>
    </row>
    <row r="105" customFormat="false" ht="13.5" hidden="false" customHeight="true" outlineLevel="0" collapsed="false">
      <c r="A105" s="11" t="n">
        <f aca="false">+A104+1</f>
        <v>104</v>
      </c>
      <c r="B105" s="20" t="n">
        <v>713268</v>
      </c>
      <c r="C105" s="21" t="n">
        <v>43920</v>
      </c>
      <c r="D105" s="22" t="s">
        <v>9</v>
      </c>
      <c r="E105" s="23" t="n">
        <v>33178</v>
      </c>
      <c r="F105" s="16" t="n">
        <f aca="false">DATEDIF(E105, "12/31/2025", "Y")</f>
        <v>35</v>
      </c>
      <c r="G105" s="16" t="n">
        <f aca="false">DATEDIF(C105, "12/31/2025", "Y")</f>
        <v>5</v>
      </c>
      <c r="H105" s="17" t="n">
        <f aca="false">_xlfn.IFS( G105&lt;10, 0, G105&lt;20, 0.45, G105&lt;30, 0.65, G105&lt;40, 0.85, G105&gt;=40, 1 )</f>
        <v>0</v>
      </c>
      <c r="I105" s="18" t="n">
        <f aca="false">_xlfn.IFS( G105&lt;10, 1, G105&lt;20, 2, G105&lt;30, 3, G105&lt;40, 4, G105&gt;=40, 5 )</f>
        <v>1</v>
      </c>
    </row>
    <row r="106" customFormat="false" ht="13.5" hidden="false" customHeight="true" outlineLevel="0" collapsed="false">
      <c r="A106" s="11" t="n">
        <f aca="false">+A105+1</f>
        <v>105</v>
      </c>
      <c r="B106" s="20" t="n">
        <v>1885757.3</v>
      </c>
      <c r="C106" s="21" t="n">
        <v>43920</v>
      </c>
      <c r="D106" s="22" t="s">
        <v>9</v>
      </c>
      <c r="E106" s="23" t="n">
        <v>32210</v>
      </c>
      <c r="F106" s="16" t="n">
        <f aca="false">DATEDIF(E106, "12/31/2025", "Y")</f>
        <v>37</v>
      </c>
      <c r="G106" s="16" t="n">
        <f aca="false">DATEDIF(C106, "12/31/2025", "Y")</f>
        <v>5</v>
      </c>
      <c r="H106" s="17" t="n">
        <f aca="false">_xlfn.IFS( G106&lt;10, 0, G106&lt;20, 0.45, G106&lt;30, 0.65, G106&lt;40, 0.85, G106&gt;=40, 1 )</f>
        <v>0</v>
      </c>
      <c r="I106" s="18" t="n">
        <f aca="false">_xlfn.IFS( G106&lt;10, 1, G106&lt;20, 2, G106&lt;30, 3, G106&lt;40, 4, G106&gt;=40, 5 )</f>
        <v>1</v>
      </c>
    </row>
    <row r="107" customFormat="false" ht="13.5" hidden="false" customHeight="true" outlineLevel="0" collapsed="false">
      <c r="A107" s="11" t="n">
        <f aca="false">+A106+1</f>
        <v>106</v>
      </c>
      <c r="B107" s="20" t="n">
        <v>722728.6</v>
      </c>
      <c r="C107" s="21" t="n">
        <v>43934</v>
      </c>
      <c r="D107" s="22" t="s">
        <v>10</v>
      </c>
      <c r="E107" s="23" t="n">
        <v>28413</v>
      </c>
      <c r="F107" s="16" t="n">
        <f aca="false">DATEDIF(E107, "12/31/2025", "Y")</f>
        <v>48</v>
      </c>
      <c r="G107" s="16" t="n">
        <f aca="false">DATEDIF(C107, "12/31/2025", "Y")</f>
        <v>5</v>
      </c>
      <c r="H107" s="17" t="n">
        <f aca="false">_xlfn.IFS( G107&lt;10, 0, G107&lt;20, 0.45, G107&lt;30, 0.65, G107&lt;40, 0.85, G107&gt;=40, 1 )</f>
        <v>0</v>
      </c>
      <c r="I107" s="18" t="n">
        <f aca="false">_xlfn.IFS( G107&lt;10, 1, G107&lt;20, 2, G107&lt;30, 3, G107&lt;40, 4, G107&gt;=40, 5 )</f>
        <v>1</v>
      </c>
    </row>
    <row r="108" customFormat="false" ht="13.5" hidden="false" customHeight="true" outlineLevel="0" collapsed="false">
      <c r="A108" s="11" t="n">
        <f aca="false">+A107+1</f>
        <v>107</v>
      </c>
      <c r="B108" s="20" t="n">
        <v>813576.15</v>
      </c>
      <c r="C108" s="21" t="n">
        <v>44652</v>
      </c>
      <c r="D108" s="22" t="s">
        <v>9</v>
      </c>
      <c r="E108" s="23" t="n">
        <v>28037</v>
      </c>
      <c r="F108" s="16" t="n">
        <f aca="false">DATEDIF(E108, "12/31/2025", "Y")</f>
        <v>49</v>
      </c>
      <c r="G108" s="16" t="n">
        <f aca="false">DATEDIF(C108, "12/31/2025", "Y")</f>
        <v>3</v>
      </c>
      <c r="H108" s="17" t="n">
        <f aca="false">_xlfn.IFS( G108&lt;10, 0, G108&lt;20, 0.45, G108&lt;30, 0.65, G108&lt;40, 0.85, G108&gt;=40, 1 )</f>
        <v>0</v>
      </c>
      <c r="I108" s="18" t="n">
        <f aca="false">_xlfn.IFS( G108&lt;10, 1, G108&lt;20, 2, G108&lt;30, 3, G108&lt;40, 4, G108&gt;=40, 5 )</f>
        <v>1</v>
      </c>
    </row>
    <row r="109" customFormat="false" ht="13.5" hidden="false" customHeight="true" outlineLevel="0" collapsed="false">
      <c r="A109" s="11" t="n">
        <f aca="false">+A108+1</f>
        <v>108</v>
      </c>
      <c r="B109" s="20" t="n">
        <v>681351.5</v>
      </c>
      <c r="C109" s="21" t="n">
        <v>44263</v>
      </c>
      <c r="D109" s="22" t="s">
        <v>10</v>
      </c>
      <c r="E109" s="23" t="n">
        <v>32333</v>
      </c>
      <c r="F109" s="16" t="n">
        <f aca="false">DATEDIF(E109, "12/31/2025", "Y")</f>
        <v>37</v>
      </c>
      <c r="G109" s="16" t="n">
        <f aca="false">DATEDIF(C109, "12/31/2025", "Y")</f>
        <v>4</v>
      </c>
      <c r="H109" s="17" t="n">
        <f aca="false">_xlfn.IFS( G109&lt;10, 0, G109&lt;20, 0.45, G109&lt;30, 0.65, G109&lt;40, 0.85, G109&gt;=40, 1 )</f>
        <v>0</v>
      </c>
      <c r="I109" s="18" t="n">
        <f aca="false">_xlfn.IFS( G109&lt;10, 1, G109&lt;20, 2, G109&lt;30, 3, G109&lt;40, 4, G109&gt;=40, 5 )</f>
        <v>1</v>
      </c>
    </row>
    <row r="110" customFormat="false" ht="13.5" hidden="false" customHeight="true" outlineLevel="0" collapsed="false">
      <c r="A110" s="11" t="n">
        <f aca="false">+A109+1</f>
        <v>109</v>
      </c>
      <c r="B110" s="20" t="n">
        <v>1015047.5</v>
      </c>
      <c r="C110" s="21" t="n">
        <v>43976</v>
      </c>
      <c r="D110" s="22" t="s">
        <v>10</v>
      </c>
      <c r="E110" s="23" t="n">
        <v>32605</v>
      </c>
      <c r="F110" s="16" t="n">
        <f aca="false">DATEDIF(E110, "12/31/2025", "Y")</f>
        <v>36</v>
      </c>
      <c r="G110" s="16" t="n">
        <f aca="false">DATEDIF(C110, "12/31/2025", "Y")</f>
        <v>5</v>
      </c>
      <c r="H110" s="17" t="n">
        <f aca="false">_xlfn.IFS( G110&lt;10, 0, G110&lt;20, 0.45, G110&lt;30, 0.65, G110&lt;40, 0.85, G110&gt;=40, 1 )</f>
        <v>0</v>
      </c>
      <c r="I110" s="18" t="n">
        <f aca="false">_xlfn.IFS( G110&lt;10, 1, G110&lt;20, 2, G110&lt;30, 3, G110&lt;40, 4, G110&gt;=40, 5 )</f>
        <v>1</v>
      </c>
    </row>
    <row r="111" customFormat="false" ht="13.5" hidden="false" customHeight="true" outlineLevel="0" collapsed="false">
      <c r="A111" s="11" t="n">
        <f aca="false">+A110+1</f>
        <v>110</v>
      </c>
      <c r="B111" s="20" t="n">
        <v>780386</v>
      </c>
      <c r="C111" s="21" t="n">
        <v>43976</v>
      </c>
      <c r="D111" s="22" t="s">
        <v>10</v>
      </c>
      <c r="E111" s="23" t="n">
        <v>31879</v>
      </c>
      <c r="F111" s="16" t="n">
        <f aca="false">DATEDIF(E111, "12/31/2025", "Y")</f>
        <v>38</v>
      </c>
      <c r="G111" s="16" t="n">
        <f aca="false">DATEDIF(C111, "12/31/2025", "Y")</f>
        <v>5</v>
      </c>
      <c r="H111" s="17" t="n">
        <f aca="false">_xlfn.IFS( G111&lt;10, 0, G111&lt;20, 0.45, G111&lt;30, 0.65, G111&lt;40, 0.85, G111&gt;=40, 1 )</f>
        <v>0</v>
      </c>
      <c r="I111" s="18" t="n">
        <f aca="false">_xlfn.IFS( G111&lt;10, 1, G111&lt;20, 2, G111&lt;30, 3, G111&lt;40, 4, G111&gt;=40, 5 )</f>
        <v>1</v>
      </c>
    </row>
    <row r="112" customFormat="false" ht="13.5" hidden="false" customHeight="true" outlineLevel="0" collapsed="false">
      <c r="A112" s="11" t="n">
        <f aca="false">+A111+1</f>
        <v>111</v>
      </c>
      <c r="B112" s="20" t="n">
        <v>2606955.65</v>
      </c>
      <c r="C112" s="21" t="n">
        <v>44562</v>
      </c>
      <c r="D112" s="22" t="s">
        <v>10</v>
      </c>
      <c r="E112" s="23" t="n">
        <v>33569</v>
      </c>
      <c r="F112" s="16" t="n">
        <f aca="false">DATEDIF(E112, "12/31/2025", "Y")</f>
        <v>34</v>
      </c>
      <c r="G112" s="16" t="n">
        <f aca="false">DATEDIF(C112, "12/31/2025", "Y")</f>
        <v>3</v>
      </c>
      <c r="H112" s="17" t="n">
        <f aca="false">_xlfn.IFS( G112&lt;10, 0, G112&lt;20, 0.45, G112&lt;30, 0.65, G112&lt;40, 0.85, G112&gt;=40, 1 )</f>
        <v>0</v>
      </c>
      <c r="I112" s="18" t="n">
        <f aca="false">_xlfn.IFS( G112&lt;10, 1, G112&lt;20, 2, G112&lt;30, 3, G112&lt;40, 4, G112&gt;=40, 5 )</f>
        <v>1</v>
      </c>
    </row>
    <row r="113" customFormat="false" ht="13.5" hidden="false" customHeight="true" outlineLevel="0" collapsed="false">
      <c r="A113" s="11" t="n">
        <f aca="false">+A112+1</f>
        <v>112</v>
      </c>
      <c r="B113" s="20" t="n">
        <v>712567.6</v>
      </c>
      <c r="C113" s="21" t="n">
        <v>44235</v>
      </c>
      <c r="D113" s="22" t="s">
        <v>9</v>
      </c>
      <c r="E113" s="23" t="n">
        <v>35620</v>
      </c>
      <c r="F113" s="16" t="n">
        <f aca="false">DATEDIF(E113, "12/31/2025", "Y")</f>
        <v>28</v>
      </c>
      <c r="G113" s="16" t="n">
        <f aca="false">DATEDIF(C113, "12/31/2025", "Y")</f>
        <v>4</v>
      </c>
      <c r="H113" s="17" t="n">
        <f aca="false">_xlfn.IFS( G113&lt;10, 0, G113&lt;20, 0.45, G113&lt;30, 0.65, G113&lt;40, 0.85, G113&gt;=40, 1 )</f>
        <v>0</v>
      </c>
      <c r="I113" s="18" t="n">
        <f aca="false">_xlfn.IFS( G113&lt;10, 1, G113&lt;20, 2, G113&lt;30, 3, G113&lt;40, 4, G113&gt;=40, 5 )</f>
        <v>1</v>
      </c>
    </row>
    <row r="114" customFormat="false" ht="13.5" hidden="false" customHeight="true" outlineLevel="0" collapsed="false">
      <c r="A114" s="11" t="n">
        <f aca="false">+A113+1</f>
        <v>113</v>
      </c>
      <c r="B114" s="20" t="n">
        <v>882803.45</v>
      </c>
      <c r="C114" s="21" t="n">
        <v>44046</v>
      </c>
      <c r="D114" s="22" t="s">
        <v>9</v>
      </c>
      <c r="E114" s="23" t="n">
        <v>33856</v>
      </c>
      <c r="F114" s="16" t="n">
        <f aca="false">DATEDIF(E114, "12/31/2025", "Y")</f>
        <v>33</v>
      </c>
      <c r="G114" s="16" t="n">
        <f aca="false">DATEDIF(C114, "12/31/2025", "Y")</f>
        <v>5</v>
      </c>
      <c r="H114" s="17" t="n">
        <f aca="false">_xlfn.IFS( G114&lt;10, 0, G114&lt;20, 0.45, G114&lt;30, 0.65, G114&lt;40, 0.85, G114&gt;=40, 1 )</f>
        <v>0</v>
      </c>
      <c r="I114" s="18" t="n">
        <f aca="false">_xlfn.IFS( G114&lt;10, 1, G114&lt;20, 2, G114&lt;30, 3, G114&lt;40, 4, G114&gt;=40, 5 )</f>
        <v>1</v>
      </c>
    </row>
    <row r="115" customFormat="false" ht="13.5" hidden="false" customHeight="true" outlineLevel="0" collapsed="false">
      <c r="A115" s="11" t="n">
        <f aca="false">+A114+1</f>
        <v>114</v>
      </c>
      <c r="B115" s="20" t="n">
        <v>1439854.6</v>
      </c>
      <c r="C115" s="21" t="n">
        <v>44061</v>
      </c>
      <c r="D115" s="22" t="s">
        <v>9</v>
      </c>
      <c r="E115" s="23" t="n">
        <v>33929</v>
      </c>
      <c r="F115" s="16" t="n">
        <f aca="false">DATEDIF(E115, "12/31/2025", "Y")</f>
        <v>33</v>
      </c>
      <c r="G115" s="16" t="n">
        <f aca="false">DATEDIF(C115, "12/31/2025", "Y")</f>
        <v>5</v>
      </c>
      <c r="H115" s="17" t="n">
        <f aca="false">_xlfn.IFS( G115&lt;10, 0, G115&lt;20, 0.45, G115&lt;30, 0.65, G115&lt;40, 0.85, G115&gt;=40, 1 )</f>
        <v>0</v>
      </c>
      <c r="I115" s="18" t="n">
        <f aca="false">_xlfn.IFS( G115&lt;10, 1, G115&lt;20, 2, G115&lt;30, 3, G115&lt;40, 4, G115&gt;=40, 5 )</f>
        <v>1</v>
      </c>
    </row>
    <row r="116" customFormat="false" ht="13.5" hidden="false" customHeight="true" outlineLevel="0" collapsed="false">
      <c r="A116" s="11" t="n">
        <f aca="false">+A115+1</f>
        <v>115</v>
      </c>
      <c r="B116" s="20" t="n">
        <v>1011469.7</v>
      </c>
      <c r="C116" s="21" t="n">
        <v>44061</v>
      </c>
      <c r="D116" s="22" t="s">
        <v>10</v>
      </c>
      <c r="E116" s="23" t="n">
        <v>33540</v>
      </c>
      <c r="F116" s="16" t="n">
        <f aca="false">DATEDIF(E116, "12/31/2025", "Y")</f>
        <v>34</v>
      </c>
      <c r="G116" s="16" t="n">
        <f aca="false">DATEDIF(C116, "12/31/2025", "Y")</f>
        <v>5</v>
      </c>
      <c r="H116" s="17" t="n">
        <f aca="false">_xlfn.IFS( G116&lt;10, 0, G116&lt;20, 0.45, G116&lt;30, 0.65, G116&lt;40, 0.85, G116&gt;=40, 1 )</f>
        <v>0</v>
      </c>
      <c r="I116" s="18" t="n">
        <f aca="false">_xlfn.IFS( G116&lt;10, 1, G116&lt;20, 2, G116&lt;30, 3, G116&lt;40, 4, G116&gt;=40, 5 )</f>
        <v>1</v>
      </c>
    </row>
    <row r="117" customFormat="false" ht="13.5" hidden="false" customHeight="true" outlineLevel="0" collapsed="false">
      <c r="A117" s="11" t="n">
        <f aca="false">+A116+1</f>
        <v>116</v>
      </c>
      <c r="B117" s="20" t="n">
        <v>2044294.1</v>
      </c>
      <c r="C117" s="21" t="n">
        <v>44089</v>
      </c>
      <c r="D117" s="22" t="s">
        <v>10</v>
      </c>
      <c r="E117" s="23" t="n">
        <v>33795</v>
      </c>
      <c r="F117" s="16" t="n">
        <f aca="false">DATEDIF(E117, "12/31/2025", "Y")</f>
        <v>33</v>
      </c>
      <c r="G117" s="16" t="n">
        <f aca="false">DATEDIF(C117, "12/31/2025", "Y")</f>
        <v>5</v>
      </c>
      <c r="H117" s="17" t="n">
        <f aca="false">_xlfn.IFS( G117&lt;10, 0, G117&lt;20, 0.45, G117&lt;30, 0.65, G117&lt;40, 0.85, G117&gt;=40, 1 )</f>
        <v>0</v>
      </c>
      <c r="I117" s="18" t="n">
        <f aca="false">_xlfn.IFS( G117&lt;10, 1, G117&lt;20, 2, G117&lt;30, 3, G117&lt;40, 4, G117&gt;=40, 5 )</f>
        <v>1</v>
      </c>
    </row>
    <row r="118" customFormat="false" ht="13.5" hidden="false" customHeight="true" outlineLevel="0" collapsed="false">
      <c r="A118" s="11" t="n">
        <f aca="false">+A117+1</f>
        <v>117</v>
      </c>
      <c r="B118" s="20" t="n">
        <v>713575.8</v>
      </c>
      <c r="C118" s="21" t="n">
        <v>44501</v>
      </c>
      <c r="D118" s="22" t="s">
        <v>10</v>
      </c>
      <c r="E118" s="23" t="n">
        <v>32255</v>
      </c>
      <c r="F118" s="16" t="n">
        <f aca="false">DATEDIF(E118, "12/31/2025", "Y")</f>
        <v>37</v>
      </c>
      <c r="G118" s="16" t="n">
        <f aca="false">DATEDIF(C118, "12/31/2025", "Y")</f>
        <v>4</v>
      </c>
      <c r="H118" s="17" t="n">
        <f aca="false">_xlfn.IFS( G118&lt;10, 0, G118&lt;20, 0.45, G118&lt;30, 0.65, G118&lt;40, 0.85, G118&gt;=40, 1 )</f>
        <v>0</v>
      </c>
      <c r="I118" s="18" t="n">
        <f aca="false">_xlfn.IFS( G118&lt;10, 1, G118&lt;20, 2, G118&lt;30, 3, G118&lt;40, 4, G118&gt;=40, 5 )</f>
        <v>1</v>
      </c>
    </row>
    <row r="119" customFormat="false" ht="13.5" hidden="false" customHeight="true" outlineLevel="0" collapsed="false">
      <c r="A119" s="11" t="n">
        <f aca="false">+A118+1</f>
        <v>118</v>
      </c>
      <c r="B119" s="20" t="n">
        <v>971499.5</v>
      </c>
      <c r="C119" s="21" t="n">
        <v>44172</v>
      </c>
      <c r="D119" s="22" t="s">
        <v>10</v>
      </c>
      <c r="E119" s="23" t="n">
        <v>34642</v>
      </c>
      <c r="F119" s="16" t="n">
        <f aca="false">DATEDIF(E119, "12/31/2025", "Y")</f>
        <v>31</v>
      </c>
      <c r="G119" s="16" t="n">
        <f aca="false">DATEDIF(C119, "12/31/2025", "Y")</f>
        <v>5</v>
      </c>
      <c r="H119" s="17" t="n">
        <f aca="false">_xlfn.IFS( G119&lt;10, 0, G119&lt;20, 0.45, G119&lt;30, 0.65, G119&lt;40, 0.85, G119&gt;=40, 1 )</f>
        <v>0</v>
      </c>
      <c r="I119" s="18" t="n">
        <f aca="false">_xlfn.IFS( G119&lt;10, 1, G119&lt;20, 2, G119&lt;30, 3, G119&lt;40, 4, G119&gt;=40, 5 )</f>
        <v>1</v>
      </c>
    </row>
    <row r="120" customFormat="false" ht="13.5" hidden="false" customHeight="true" outlineLevel="0" collapsed="false">
      <c r="A120" s="11" t="n">
        <f aca="false">+A119+1</f>
        <v>119</v>
      </c>
      <c r="B120" s="20" t="n">
        <v>739888</v>
      </c>
      <c r="C120" s="21" t="n">
        <v>44562</v>
      </c>
      <c r="D120" s="22" t="s">
        <v>9</v>
      </c>
      <c r="E120" s="23" t="n">
        <v>33674</v>
      </c>
      <c r="F120" s="16" t="n">
        <f aca="false">DATEDIF(E120, "12/31/2025", "Y")</f>
        <v>33</v>
      </c>
      <c r="G120" s="16" t="n">
        <f aca="false">DATEDIF(C120, "12/31/2025", "Y")</f>
        <v>3</v>
      </c>
      <c r="H120" s="17" t="n">
        <f aca="false">_xlfn.IFS( G120&lt;10, 0, G120&lt;20, 0.45, G120&lt;30, 0.65, G120&lt;40, 0.85, G120&gt;=40, 1 )</f>
        <v>0</v>
      </c>
      <c r="I120" s="18" t="n">
        <f aca="false">_xlfn.IFS( G120&lt;10, 1, G120&lt;20, 2, G120&lt;30, 3, G120&lt;40, 4, G120&gt;=40, 5 )</f>
        <v>1</v>
      </c>
    </row>
    <row r="121" customFormat="false" ht="13.5" hidden="false" customHeight="true" outlineLevel="0" collapsed="false">
      <c r="A121" s="11" t="n">
        <f aca="false">+A120+1</f>
        <v>120</v>
      </c>
      <c r="B121" s="20" t="n">
        <v>887948.5</v>
      </c>
      <c r="C121" s="21" t="n">
        <v>44562</v>
      </c>
      <c r="D121" s="22" t="s">
        <v>10</v>
      </c>
      <c r="E121" s="23" t="n">
        <v>35864</v>
      </c>
      <c r="F121" s="16" t="n">
        <f aca="false">DATEDIF(E121, "12/31/2025", "Y")</f>
        <v>27</v>
      </c>
      <c r="G121" s="16" t="n">
        <f aca="false">DATEDIF(C121, "12/31/2025", "Y")</f>
        <v>3</v>
      </c>
      <c r="H121" s="17" t="n">
        <f aca="false">_xlfn.IFS( G121&lt;10, 0, G121&lt;20, 0.45, G121&lt;30, 0.65, G121&lt;40, 0.85, G121&gt;=40, 1 )</f>
        <v>0</v>
      </c>
      <c r="I121" s="18" t="n">
        <f aca="false">_xlfn.IFS( G121&lt;10, 1, G121&lt;20, 2, G121&lt;30, 3, G121&lt;40, 4, G121&gt;=40, 5 )</f>
        <v>1</v>
      </c>
    </row>
    <row r="122" customFormat="false" ht="13.5" hidden="false" customHeight="true" outlineLevel="0" collapsed="false">
      <c r="A122" s="11" t="n">
        <f aca="false">+A121+1</f>
        <v>121</v>
      </c>
      <c r="B122" s="20" t="n">
        <v>495316</v>
      </c>
      <c r="C122" s="21" t="n">
        <v>44562</v>
      </c>
      <c r="D122" s="22" t="s">
        <v>10</v>
      </c>
      <c r="E122" s="23" t="n">
        <v>33106</v>
      </c>
      <c r="F122" s="16" t="n">
        <f aca="false">DATEDIF(E122, "12/31/2025", "Y")</f>
        <v>35</v>
      </c>
      <c r="G122" s="16" t="n">
        <f aca="false">DATEDIF(C122, "12/31/2025", "Y")</f>
        <v>3</v>
      </c>
      <c r="H122" s="17" t="n">
        <f aca="false">_xlfn.IFS( G122&lt;10, 0, G122&lt;20, 0.45, G122&lt;30, 0.65, G122&lt;40, 0.85, G122&gt;=40, 1 )</f>
        <v>0</v>
      </c>
      <c r="I122" s="18" t="n">
        <f aca="false">_xlfn.IFS( G122&lt;10, 1, G122&lt;20, 2, G122&lt;30, 3, G122&lt;40, 4, G122&gt;=40, 5 )</f>
        <v>1</v>
      </c>
    </row>
    <row r="123" customFormat="false" ht="13.5" hidden="false" customHeight="true" outlineLevel="0" collapsed="false">
      <c r="A123" s="11" t="n">
        <f aca="false">+A122+1</f>
        <v>122</v>
      </c>
      <c r="B123" s="20" t="n">
        <v>572422</v>
      </c>
      <c r="C123" s="21" t="n">
        <v>44627</v>
      </c>
      <c r="D123" s="22" t="s">
        <v>9</v>
      </c>
      <c r="E123" s="23" t="n">
        <v>31607</v>
      </c>
      <c r="F123" s="16" t="n">
        <f aca="false">DATEDIF(E123, "12/31/2025", "Y")</f>
        <v>39</v>
      </c>
      <c r="G123" s="16" t="n">
        <f aca="false">DATEDIF(C123, "12/31/2025", "Y")</f>
        <v>3</v>
      </c>
      <c r="H123" s="17" t="n">
        <f aca="false">_xlfn.IFS( G123&lt;10, 0, G123&lt;20, 0.45, G123&lt;30, 0.65, G123&lt;40, 0.85, G123&gt;=40, 1 )</f>
        <v>0</v>
      </c>
      <c r="I123" s="18" t="n">
        <f aca="false">_xlfn.IFS( G123&lt;10, 1, G123&lt;20, 2, G123&lt;30, 3, G123&lt;40, 4, G123&gt;=40, 5 )</f>
        <v>1</v>
      </c>
    </row>
    <row r="124" customFormat="false" ht="13.5" hidden="false" customHeight="true" outlineLevel="0" collapsed="false">
      <c r="A124" s="11" t="n">
        <f aca="false">+A123+1</f>
        <v>123</v>
      </c>
      <c r="B124" s="20" t="n">
        <v>1429496.5</v>
      </c>
      <c r="C124" s="21" t="n">
        <v>44333</v>
      </c>
      <c r="D124" s="22" t="s">
        <v>10</v>
      </c>
      <c r="E124" s="23" t="n">
        <v>33384</v>
      </c>
      <c r="F124" s="16" t="n">
        <f aca="false">DATEDIF(E124, "12/31/2025", "Y")</f>
        <v>34</v>
      </c>
      <c r="G124" s="16" t="n">
        <f aca="false">DATEDIF(C124, "12/31/2025", "Y")</f>
        <v>4</v>
      </c>
      <c r="H124" s="17" t="n">
        <f aca="false">_xlfn.IFS( G124&lt;10, 0, G124&lt;20, 0.45, G124&lt;30, 0.65, G124&lt;40, 0.85, G124&gt;=40, 1 )</f>
        <v>0</v>
      </c>
      <c r="I124" s="18" t="n">
        <f aca="false">_xlfn.IFS( G124&lt;10, 1, G124&lt;20, 2, G124&lt;30, 3, G124&lt;40, 4, G124&gt;=40, 5 )</f>
        <v>1</v>
      </c>
    </row>
    <row r="125" customFormat="false" ht="13.5" hidden="false" customHeight="true" outlineLevel="0" collapsed="false">
      <c r="A125" s="11" t="n">
        <f aca="false">+A124+1</f>
        <v>124</v>
      </c>
      <c r="B125" s="20" t="n">
        <v>713268</v>
      </c>
      <c r="C125" s="21" t="n">
        <v>44562</v>
      </c>
      <c r="D125" s="22" t="s">
        <v>10</v>
      </c>
      <c r="E125" s="23" t="n">
        <v>35877</v>
      </c>
      <c r="F125" s="16" t="n">
        <f aca="false">DATEDIF(E125, "12/31/2025", "Y")</f>
        <v>27</v>
      </c>
      <c r="G125" s="16" t="n">
        <f aca="false">DATEDIF(C125, "12/31/2025", "Y")</f>
        <v>3</v>
      </c>
      <c r="H125" s="17" t="n">
        <f aca="false">_xlfn.IFS( G125&lt;10, 0, G125&lt;20, 0.45, G125&lt;30, 0.65, G125&lt;40, 0.85, G125&gt;=40, 1 )</f>
        <v>0</v>
      </c>
      <c r="I125" s="18" t="n">
        <f aca="false">_xlfn.IFS( G125&lt;10, 1, G125&lt;20, 2, G125&lt;30, 3, G125&lt;40, 4, G125&gt;=40, 5 )</f>
        <v>1</v>
      </c>
    </row>
    <row r="126" customFormat="false" ht="13.5" hidden="false" customHeight="true" outlineLevel="0" collapsed="false">
      <c r="A126" s="11" t="n">
        <f aca="false">+A125+1</f>
        <v>125</v>
      </c>
      <c r="B126" s="20" t="n">
        <v>841528</v>
      </c>
      <c r="C126" s="21" t="n">
        <v>44375</v>
      </c>
      <c r="D126" s="22" t="s">
        <v>10</v>
      </c>
      <c r="E126" s="23" t="n">
        <v>34154</v>
      </c>
      <c r="F126" s="16" t="n">
        <f aca="false">DATEDIF(E126, "12/31/2025", "Y")</f>
        <v>32</v>
      </c>
      <c r="G126" s="16" t="n">
        <f aca="false">DATEDIF(C126, "12/31/2025", "Y")</f>
        <v>4</v>
      </c>
      <c r="H126" s="17" t="n">
        <f aca="false">_xlfn.IFS( G126&lt;10, 0, G126&lt;20, 0.45, G126&lt;30, 0.65, G126&lt;40, 0.85, G126&gt;=40, 1 )</f>
        <v>0</v>
      </c>
      <c r="I126" s="18" t="n">
        <f aca="false">_xlfn.IFS( G126&lt;10, 1, G126&lt;20, 2, G126&lt;30, 3, G126&lt;40, 4, G126&gt;=40, 5 )</f>
        <v>1</v>
      </c>
    </row>
    <row r="127" customFormat="false" ht="13.5" hidden="false" customHeight="true" outlineLevel="0" collapsed="false">
      <c r="A127" s="11" t="n">
        <f aca="false">+A126+1</f>
        <v>126</v>
      </c>
      <c r="B127" s="20" t="n">
        <v>653865</v>
      </c>
      <c r="C127" s="21" t="n">
        <v>44375</v>
      </c>
      <c r="D127" s="22" t="s">
        <v>10</v>
      </c>
      <c r="E127" s="23" t="n">
        <v>34944</v>
      </c>
      <c r="F127" s="16" t="n">
        <f aca="false">DATEDIF(E127, "12/31/2025", "Y")</f>
        <v>30</v>
      </c>
      <c r="G127" s="16" t="n">
        <f aca="false">DATEDIF(C127, "12/31/2025", "Y")</f>
        <v>4</v>
      </c>
      <c r="H127" s="17" t="n">
        <f aca="false">_xlfn.IFS( G127&lt;10, 0, G127&lt;20, 0.45, G127&lt;30, 0.65, G127&lt;40, 0.85, G127&gt;=40, 1 )</f>
        <v>0</v>
      </c>
      <c r="I127" s="18" t="n">
        <f aca="false">_xlfn.IFS( G127&lt;10, 1, G127&lt;20, 2, G127&lt;30, 3, G127&lt;40, 4, G127&gt;=40, 5 )</f>
        <v>1</v>
      </c>
    </row>
    <row r="128" customFormat="false" ht="13.5" hidden="false" customHeight="true" outlineLevel="0" collapsed="false">
      <c r="A128" s="11" t="n">
        <f aca="false">+A127+1</f>
        <v>127</v>
      </c>
      <c r="B128" s="20" t="n">
        <v>855467.5</v>
      </c>
      <c r="C128" s="21" t="n">
        <v>44732</v>
      </c>
      <c r="D128" s="22" t="s">
        <v>10</v>
      </c>
      <c r="E128" s="23" t="n">
        <v>36035</v>
      </c>
      <c r="F128" s="16" t="n">
        <f aca="false">DATEDIF(E128, "12/31/2025", "Y")</f>
        <v>27</v>
      </c>
      <c r="G128" s="16" t="n">
        <f aca="false">DATEDIF(C128, "12/31/2025", "Y")</f>
        <v>3</v>
      </c>
      <c r="H128" s="17" t="n">
        <f aca="false">_xlfn.IFS( G128&lt;10, 0, G128&lt;20, 0.45, G128&lt;30, 0.65, G128&lt;40, 0.85, G128&gt;=40, 1 )</f>
        <v>0</v>
      </c>
      <c r="I128" s="18" t="n">
        <f aca="false">_xlfn.IFS( G128&lt;10, 1, G128&lt;20, 2, G128&lt;30, 3, G128&lt;40, 4, G128&gt;=40, 5 )</f>
        <v>1</v>
      </c>
    </row>
    <row r="129" customFormat="false" ht="13.5" hidden="false" customHeight="true" outlineLevel="0" collapsed="false">
      <c r="A129" s="11" t="n">
        <f aca="false">+A128+1</f>
        <v>128</v>
      </c>
      <c r="B129" s="20" t="n">
        <v>740203.6</v>
      </c>
      <c r="C129" s="21" t="n">
        <v>44389</v>
      </c>
      <c r="D129" s="22" t="s">
        <v>9</v>
      </c>
      <c r="E129" s="23" t="n">
        <v>31274</v>
      </c>
      <c r="F129" s="16" t="n">
        <f aca="false">DATEDIF(E129, "12/31/2025", "Y")</f>
        <v>40</v>
      </c>
      <c r="G129" s="16" t="n">
        <f aca="false">DATEDIF(C129, "12/31/2025", "Y")</f>
        <v>4</v>
      </c>
      <c r="H129" s="17" t="n">
        <f aca="false">_xlfn.IFS( G129&lt;10, 0, G129&lt;20, 0.45, G129&lt;30, 0.65, G129&lt;40, 0.85, G129&gt;=40, 1 )</f>
        <v>0</v>
      </c>
      <c r="I129" s="18" t="n">
        <f aca="false">_xlfn.IFS( G129&lt;10, 1, G129&lt;20, 2, G129&lt;30, 3, G129&lt;40, 4, G129&gt;=40, 5 )</f>
        <v>1</v>
      </c>
    </row>
    <row r="130" customFormat="false" ht="13.5" hidden="false" customHeight="true" outlineLevel="0" collapsed="false">
      <c r="A130" s="11" t="n">
        <f aca="false">+A129+1</f>
        <v>129</v>
      </c>
      <c r="B130" s="20" t="n">
        <v>695209</v>
      </c>
      <c r="C130" s="21" t="n">
        <v>44621</v>
      </c>
      <c r="D130" s="22" t="s">
        <v>10</v>
      </c>
      <c r="E130" s="23" t="n">
        <v>34026</v>
      </c>
      <c r="F130" s="16" t="n">
        <f aca="false">DATEDIF(E130, "12/31/2025", "Y")</f>
        <v>32</v>
      </c>
      <c r="G130" s="16" t="n">
        <f aca="false">DATEDIF(C130, "12/31/2025", "Y")</f>
        <v>3</v>
      </c>
      <c r="H130" s="17" t="n">
        <f aca="false">_xlfn.IFS( G130&lt;10, 0, G130&lt;20, 0.45, G130&lt;30, 0.65, G130&lt;40, 0.85, G130&gt;=40, 1 )</f>
        <v>0</v>
      </c>
      <c r="I130" s="18" t="n">
        <f aca="false">_xlfn.IFS( G130&lt;10, 1, G130&lt;20, 2, G130&lt;30, 3, G130&lt;40, 4, G130&gt;=40, 5 )</f>
        <v>1</v>
      </c>
    </row>
    <row r="131" customFormat="false" ht="13.5" hidden="false" customHeight="true" outlineLevel="0" collapsed="false">
      <c r="A131" s="11" t="n">
        <f aca="false">+A130+1</f>
        <v>130</v>
      </c>
      <c r="B131" s="20" t="n">
        <v>746450.2</v>
      </c>
      <c r="C131" s="21" t="n">
        <v>44431</v>
      </c>
      <c r="D131" s="22" t="s">
        <v>10</v>
      </c>
      <c r="E131" s="23" t="n">
        <v>35901</v>
      </c>
      <c r="F131" s="16" t="n">
        <f aca="false">DATEDIF(E131, "12/31/2025", "Y")</f>
        <v>27</v>
      </c>
      <c r="G131" s="16" t="n">
        <f aca="false">DATEDIF(C131, "12/31/2025", "Y")</f>
        <v>4</v>
      </c>
      <c r="H131" s="17" t="n">
        <f aca="false">_xlfn.IFS( G131&lt;10, 0, G131&lt;20, 0.45, G131&lt;30, 0.65, G131&lt;40, 0.85, G131&gt;=40, 1 )</f>
        <v>0</v>
      </c>
      <c r="I131" s="18" t="n">
        <f aca="false">_xlfn.IFS( G131&lt;10, 1, G131&lt;20, 2, G131&lt;30, 3, G131&lt;40, 4, G131&gt;=40, 5 )</f>
        <v>1</v>
      </c>
    </row>
    <row r="132" customFormat="false" ht="13.5" hidden="false" customHeight="true" outlineLevel="0" collapsed="false">
      <c r="A132" s="11" t="n">
        <f aca="false">+A131+1</f>
        <v>131</v>
      </c>
      <c r="B132" s="20" t="n">
        <v>289354.5</v>
      </c>
      <c r="C132" s="21" t="n">
        <v>44652</v>
      </c>
      <c r="D132" s="22" t="s">
        <v>10</v>
      </c>
      <c r="E132" s="23" t="n">
        <v>37700</v>
      </c>
      <c r="F132" s="16" t="n">
        <f aca="false">DATEDIF(E132, "12/31/2025", "Y")</f>
        <v>22</v>
      </c>
      <c r="G132" s="16" t="n">
        <f aca="false">DATEDIF(C132, "12/31/2025", "Y")</f>
        <v>3</v>
      </c>
      <c r="H132" s="17" t="n">
        <f aca="false">_xlfn.IFS( G132&lt;10, 0, G132&lt;20, 0.45, G132&lt;30, 0.65, G132&lt;40, 0.85, G132&gt;=40, 1 )</f>
        <v>0</v>
      </c>
      <c r="I132" s="18" t="n">
        <f aca="false">_xlfn.IFS( G132&lt;10, 1, G132&lt;20, 2, G132&lt;30, 3, G132&lt;40, 4, G132&gt;=40, 5 )</f>
        <v>1</v>
      </c>
    </row>
    <row r="133" customFormat="false" ht="13.5" hidden="false" customHeight="true" outlineLevel="0" collapsed="false">
      <c r="A133" s="11" t="n">
        <f aca="false">+A132+1</f>
        <v>132</v>
      </c>
      <c r="B133" s="20" t="n">
        <v>2636433.5</v>
      </c>
      <c r="C133" s="21" t="n">
        <v>44621</v>
      </c>
      <c r="D133" s="22" t="s">
        <v>10</v>
      </c>
      <c r="E133" s="23" t="n">
        <v>37640</v>
      </c>
      <c r="F133" s="16" t="n">
        <f aca="false">DATEDIF(E133, "12/31/2025", "Y")</f>
        <v>22</v>
      </c>
      <c r="G133" s="16" t="n">
        <f aca="false">DATEDIF(C133, "12/31/2025", "Y")</f>
        <v>3</v>
      </c>
      <c r="H133" s="17" t="n">
        <f aca="false">_xlfn.IFS( G133&lt;10, 0, G133&lt;20, 0.45, G133&lt;30, 0.65, G133&lt;40, 0.85, G133&gt;=40, 1 )</f>
        <v>0</v>
      </c>
      <c r="I133" s="18" t="n">
        <f aca="false">_xlfn.IFS( G133&lt;10, 1, G133&lt;20, 2, G133&lt;30, 3, G133&lt;40, 4, G133&gt;=40, 5 )</f>
        <v>1</v>
      </c>
    </row>
    <row r="134" customFormat="false" ht="13.5" hidden="false" customHeight="true" outlineLevel="0" collapsed="false">
      <c r="A134" s="11" t="n">
        <f aca="false">+A133+1</f>
        <v>133</v>
      </c>
      <c r="B134" s="20" t="n">
        <v>661579.4</v>
      </c>
      <c r="C134" s="21" t="n">
        <v>44445</v>
      </c>
      <c r="D134" s="22" t="s">
        <v>9</v>
      </c>
      <c r="E134" s="23" t="n">
        <v>34631</v>
      </c>
      <c r="F134" s="16" t="n">
        <f aca="false">DATEDIF(E134, "12/31/2025", "Y")</f>
        <v>31</v>
      </c>
      <c r="G134" s="16" t="n">
        <f aca="false">DATEDIF(C134, "12/31/2025", "Y")</f>
        <v>4</v>
      </c>
      <c r="H134" s="17" t="n">
        <f aca="false">_xlfn.IFS( G134&lt;10, 0, G134&lt;20, 0.45, G134&lt;30, 0.65, G134&lt;40, 0.85, G134&gt;=40, 1 )</f>
        <v>0</v>
      </c>
      <c r="I134" s="18" t="n">
        <f aca="false">_xlfn.IFS( G134&lt;10, 1, G134&lt;20, 2, G134&lt;30, 3, G134&lt;40, 4, G134&gt;=40, 5 )</f>
        <v>1</v>
      </c>
    </row>
    <row r="135" customFormat="false" ht="13.5" hidden="false" customHeight="true" outlineLevel="0" collapsed="false">
      <c r="A135" s="11" t="n">
        <f aca="false">+A134+1</f>
        <v>134</v>
      </c>
      <c r="B135" s="20" t="n">
        <v>2010897.4</v>
      </c>
      <c r="C135" s="21" t="n">
        <v>44522</v>
      </c>
      <c r="D135" s="22" t="s">
        <v>10</v>
      </c>
      <c r="E135" s="23" t="n">
        <v>29696</v>
      </c>
      <c r="F135" s="16" t="n">
        <f aca="false">DATEDIF(E135, "12/31/2025", "Y")</f>
        <v>44</v>
      </c>
      <c r="G135" s="16" t="n">
        <f aca="false">DATEDIF(C135, "12/31/2025", "Y")</f>
        <v>4</v>
      </c>
      <c r="H135" s="17" t="n">
        <f aca="false">_xlfn.IFS( G135&lt;10, 0, G135&lt;20, 0.45, G135&lt;30, 0.65, G135&lt;40, 0.85, G135&gt;=40, 1 )</f>
        <v>0</v>
      </c>
      <c r="I135" s="18" t="n">
        <f aca="false">_xlfn.IFS( G135&lt;10, 1, G135&lt;20, 2, G135&lt;30, 3, G135&lt;40, 4, G135&gt;=40, 5 )</f>
        <v>1</v>
      </c>
    </row>
    <row r="136" customFormat="false" ht="13.5" hidden="false" customHeight="true" outlineLevel="0" collapsed="false">
      <c r="A136" s="11" t="n">
        <f aca="false">+A135+1</f>
        <v>135</v>
      </c>
      <c r="B136" s="20" t="n">
        <v>681824.65</v>
      </c>
      <c r="C136" s="21" t="n">
        <v>44530</v>
      </c>
      <c r="D136" s="22" t="s">
        <v>10</v>
      </c>
      <c r="E136" s="23" t="n">
        <v>33540</v>
      </c>
      <c r="F136" s="16" t="n">
        <f aca="false">DATEDIF(E136, "12/31/2025", "Y")</f>
        <v>34</v>
      </c>
      <c r="G136" s="16" t="n">
        <f aca="false">DATEDIF(C136, "12/31/2025", "Y")</f>
        <v>4</v>
      </c>
      <c r="H136" s="17" t="n">
        <f aca="false">_xlfn.IFS( G136&lt;10, 0, G136&lt;20, 0.45, G136&lt;30, 0.65, G136&lt;40, 0.85, G136&gt;=40, 1 )</f>
        <v>0</v>
      </c>
      <c r="I136" s="18" t="n">
        <f aca="false">_xlfn.IFS( G136&lt;10, 1, G136&lt;20, 2, G136&lt;30, 3, G136&lt;40, 4, G136&gt;=40, 5 )</f>
        <v>1</v>
      </c>
    </row>
    <row r="137" customFormat="false" ht="13.5" hidden="false" customHeight="true" outlineLevel="0" collapsed="false">
      <c r="A137" s="11" t="n">
        <f aca="false">+A136+1</f>
        <v>136</v>
      </c>
      <c r="B137" s="20" t="n">
        <v>679066</v>
      </c>
      <c r="C137" s="21" t="n">
        <v>44564</v>
      </c>
      <c r="D137" s="22" t="s">
        <v>10</v>
      </c>
      <c r="E137" s="23" t="n">
        <v>29750</v>
      </c>
      <c r="F137" s="16" t="n">
        <f aca="false">DATEDIF(E137, "12/31/2025", "Y")</f>
        <v>44</v>
      </c>
      <c r="G137" s="16" t="n">
        <f aca="false">DATEDIF(C137, "12/31/2025", "Y")</f>
        <v>3</v>
      </c>
      <c r="H137" s="17" t="n">
        <f aca="false">_xlfn.IFS( G137&lt;10, 0, G137&lt;20, 0.45, G137&lt;30, 0.65, G137&lt;40, 0.85, G137&gt;=40, 1 )</f>
        <v>0</v>
      </c>
      <c r="I137" s="18" t="n">
        <f aca="false">_xlfn.IFS( G137&lt;10, 1, G137&lt;20, 2, G137&lt;30, 3, G137&lt;40, 4, G137&gt;=40, 5 )</f>
        <v>1</v>
      </c>
    </row>
    <row r="138" customFormat="false" ht="13.5" hidden="false" customHeight="true" outlineLevel="0" collapsed="false">
      <c r="A138" s="11" t="n">
        <f aca="false">+A137+1</f>
        <v>137</v>
      </c>
      <c r="B138" s="20" t="n">
        <v>631996</v>
      </c>
      <c r="C138" s="21" t="n">
        <v>44571</v>
      </c>
      <c r="D138" s="22" t="s">
        <v>10</v>
      </c>
      <c r="E138" s="23" t="n">
        <v>27441</v>
      </c>
      <c r="F138" s="16" t="n">
        <f aca="false">DATEDIF(E138, "12/31/2025", "Y")</f>
        <v>50</v>
      </c>
      <c r="G138" s="16" t="n">
        <f aca="false">DATEDIF(C138, "12/31/2025", "Y")</f>
        <v>3</v>
      </c>
      <c r="H138" s="17" t="n">
        <f aca="false">_xlfn.IFS( G138&lt;10, 0, G138&lt;20, 0.45, G138&lt;30, 0.65, G138&lt;40, 0.85, G138&gt;=40, 1 )</f>
        <v>0</v>
      </c>
      <c r="I138" s="18" t="n">
        <f aca="false">_xlfn.IFS( G138&lt;10, 1, G138&lt;20, 2, G138&lt;30, 3, G138&lt;40, 4, G138&gt;=40, 5 )</f>
        <v>1</v>
      </c>
    </row>
    <row r="139" customFormat="false" ht="13.5" hidden="false" customHeight="true" outlineLevel="0" collapsed="false">
      <c r="A139" s="11" t="n">
        <f aca="false">+A138+1</f>
        <v>138</v>
      </c>
      <c r="B139" s="20" t="n">
        <v>878383.6</v>
      </c>
      <c r="C139" s="21" t="n">
        <v>44571</v>
      </c>
      <c r="D139" s="22" t="s">
        <v>10</v>
      </c>
      <c r="E139" s="23" t="n">
        <v>33471</v>
      </c>
      <c r="F139" s="16" t="n">
        <f aca="false">DATEDIF(E139, "12/31/2025", "Y")</f>
        <v>34</v>
      </c>
      <c r="G139" s="16" t="n">
        <f aca="false">DATEDIF(C139, "12/31/2025", "Y")</f>
        <v>3</v>
      </c>
      <c r="H139" s="17" t="n">
        <f aca="false">_xlfn.IFS( G139&lt;10, 0, G139&lt;20, 0.45, G139&lt;30, 0.65, G139&lt;40, 0.85, G139&gt;=40, 1 )</f>
        <v>0</v>
      </c>
      <c r="I139" s="18" t="n">
        <f aca="false">_xlfn.IFS( G139&lt;10, 1, G139&lt;20, 2, G139&lt;30, 3, G139&lt;40, 4, G139&gt;=40, 5 )</f>
        <v>1</v>
      </c>
    </row>
    <row r="140" customFormat="false" ht="13.5" hidden="false" customHeight="true" outlineLevel="0" collapsed="false">
      <c r="A140" s="11" t="n">
        <f aca="false">+A139+1</f>
        <v>139</v>
      </c>
      <c r="B140" s="20" t="n">
        <v>340853.55</v>
      </c>
      <c r="C140" s="21" t="n">
        <v>44571</v>
      </c>
      <c r="D140" s="22" t="s">
        <v>10</v>
      </c>
      <c r="E140" s="23" t="n">
        <v>33031</v>
      </c>
      <c r="F140" s="16" t="n">
        <f aca="false">DATEDIF(E140, "12/31/2025", "Y")</f>
        <v>35</v>
      </c>
      <c r="G140" s="16" t="n">
        <f aca="false">DATEDIF(C140, "12/31/2025", "Y")</f>
        <v>3</v>
      </c>
      <c r="H140" s="17" t="n">
        <f aca="false">_xlfn.IFS( G140&lt;10, 0, G140&lt;20, 0.45, G140&lt;30, 0.65, G140&lt;40, 0.85, G140&gt;=40, 1 )</f>
        <v>0</v>
      </c>
      <c r="I140" s="18" t="n">
        <f aca="false">_xlfn.IFS( G140&lt;10, 1, G140&lt;20, 2, G140&lt;30, 3, G140&lt;40, 4, G140&gt;=40, 5 )</f>
        <v>1</v>
      </c>
    </row>
    <row r="141" customFormat="false" ht="13.5" hidden="false" customHeight="true" outlineLevel="0" collapsed="false">
      <c r="A141" s="11" t="n">
        <f aca="false">+A140+1</f>
        <v>140</v>
      </c>
      <c r="B141" s="20" t="n">
        <v>751699</v>
      </c>
      <c r="C141" s="21" t="n">
        <v>45575</v>
      </c>
      <c r="D141" s="22" t="s">
        <v>10</v>
      </c>
      <c r="E141" s="23" t="n">
        <v>34643</v>
      </c>
      <c r="F141" s="16" t="n">
        <f aca="false">DATEDIF(E141, "12/31/2025", "Y")</f>
        <v>31</v>
      </c>
      <c r="G141" s="16" t="n">
        <f aca="false">DATEDIF(C141, "12/31/2025", "Y")</f>
        <v>1</v>
      </c>
      <c r="H141" s="17" t="n">
        <f aca="false">_xlfn.IFS( G141&lt;10, 0, G141&lt;20, 0.45, G141&lt;30, 0.65, G141&lt;40, 0.85, G141&gt;=40, 1 )</f>
        <v>0</v>
      </c>
      <c r="I141" s="18" t="n">
        <f aca="false">_xlfn.IFS( G141&lt;10, 1, G141&lt;20, 2, G141&lt;30, 3, G141&lt;40, 4, G141&gt;=40, 5 )</f>
        <v>1</v>
      </c>
    </row>
    <row r="142" customFormat="false" ht="13.5" hidden="false" customHeight="true" outlineLevel="0" collapsed="false">
      <c r="A142" s="11" t="n">
        <f aca="false">+A141+1</f>
        <v>141</v>
      </c>
      <c r="B142" s="20" t="n">
        <v>841303.9</v>
      </c>
      <c r="C142" s="21" t="n">
        <v>44753</v>
      </c>
      <c r="D142" s="22" t="s">
        <v>9</v>
      </c>
      <c r="E142" s="23" t="n">
        <v>36453</v>
      </c>
      <c r="F142" s="16" t="n">
        <f aca="false">DATEDIF(E142, "12/31/2025", "Y")</f>
        <v>26</v>
      </c>
      <c r="G142" s="16" t="n">
        <f aca="false">DATEDIF(C142, "12/31/2025", "Y")</f>
        <v>3</v>
      </c>
      <c r="H142" s="17" t="n">
        <f aca="false">_xlfn.IFS( G142&lt;10, 0, G142&lt;20, 0.45, G142&lt;30, 0.65, G142&lt;40, 0.85, G142&gt;=40, 1 )</f>
        <v>0</v>
      </c>
      <c r="I142" s="18" t="n">
        <f aca="false">_xlfn.IFS( G142&lt;10, 1, G142&lt;20, 2, G142&lt;30, 3, G142&lt;40, 4, G142&gt;=40, 5 )</f>
        <v>1</v>
      </c>
    </row>
    <row r="143" customFormat="false" ht="13.5" hidden="false" customHeight="true" outlineLevel="0" collapsed="false">
      <c r="A143" s="11" t="n">
        <f aca="false">+A142+1</f>
        <v>142</v>
      </c>
      <c r="B143" s="20" t="n">
        <v>61592.39</v>
      </c>
      <c r="C143" s="21" t="n">
        <v>44599</v>
      </c>
      <c r="D143" s="22" t="s">
        <v>9</v>
      </c>
      <c r="E143" s="23" t="n">
        <v>28814</v>
      </c>
      <c r="F143" s="16" t="n">
        <f aca="false">DATEDIF(E143, "12/31/2025", "Y")</f>
        <v>47</v>
      </c>
      <c r="G143" s="16" t="n">
        <f aca="false">DATEDIF(C143, "12/31/2025", "Y")</f>
        <v>3</v>
      </c>
      <c r="H143" s="17" t="n">
        <f aca="false">_xlfn.IFS( G143&lt;10, 0, G143&lt;20, 0.45, G143&lt;30, 0.65, G143&lt;40, 0.85, G143&gt;=40, 1 )</f>
        <v>0</v>
      </c>
      <c r="I143" s="18" t="n">
        <f aca="false">_xlfn.IFS( G143&lt;10, 1, G143&lt;20, 2, G143&lt;30, 3, G143&lt;40, 4, G143&gt;=40, 5 )</f>
        <v>1</v>
      </c>
    </row>
    <row r="144" customFormat="false" ht="13.5" hidden="false" customHeight="true" outlineLevel="0" collapsed="false">
      <c r="A144" s="11" t="n">
        <f aca="false">+A143+1</f>
        <v>143</v>
      </c>
      <c r="B144" s="20" t="n">
        <v>606280</v>
      </c>
      <c r="C144" s="21" t="n">
        <v>44713</v>
      </c>
      <c r="D144" s="22" t="s">
        <v>10</v>
      </c>
      <c r="E144" s="23" t="n">
        <v>33803</v>
      </c>
      <c r="F144" s="16" t="n">
        <f aca="false">DATEDIF(E144, "12/31/2025", "Y")</f>
        <v>33</v>
      </c>
      <c r="G144" s="16" t="n">
        <f aca="false">DATEDIF(C144, "12/31/2025", "Y")</f>
        <v>3</v>
      </c>
      <c r="H144" s="17" t="n">
        <f aca="false">_xlfn.IFS( G144&lt;10, 0, G144&lt;20, 0.45, G144&lt;30, 0.65, G144&lt;40, 0.85, G144&gt;=40, 1 )</f>
        <v>0</v>
      </c>
      <c r="I144" s="18" t="n">
        <f aca="false">_xlfn.IFS( G144&lt;10, 1, G144&lt;20, 2, G144&lt;30, 3, G144&lt;40, 4, G144&gt;=40, 5 )</f>
        <v>1</v>
      </c>
    </row>
    <row r="145" customFormat="false" ht="13.5" hidden="false" customHeight="true" outlineLevel="0" collapsed="false">
      <c r="A145" s="11" t="n">
        <f aca="false">+A144+1</f>
        <v>144</v>
      </c>
      <c r="B145" s="20" t="n">
        <v>565516.2</v>
      </c>
      <c r="C145" s="21" t="n">
        <v>44613</v>
      </c>
      <c r="D145" s="22" t="s">
        <v>10</v>
      </c>
      <c r="E145" s="23" t="n">
        <v>32989</v>
      </c>
      <c r="F145" s="16" t="n">
        <f aca="false">DATEDIF(E145, "12/31/2025", "Y")</f>
        <v>35</v>
      </c>
      <c r="G145" s="16" t="n">
        <f aca="false">DATEDIF(C145, "12/31/2025", "Y")</f>
        <v>3</v>
      </c>
      <c r="H145" s="17" t="n">
        <f aca="false">_xlfn.IFS( G145&lt;10, 0, G145&lt;20, 0.45, G145&lt;30, 0.65, G145&lt;40, 0.85, G145&gt;=40, 1 )</f>
        <v>0</v>
      </c>
      <c r="I145" s="18" t="n">
        <f aca="false">_xlfn.IFS( G145&lt;10, 1, G145&lt;20, 2, G145&lt;30, 3, G145&lt;40, 4, G145&gt;=40, 5 )</f>
        <v>1</v>
      </c>
    </row>
    <row r="146" customFormat="false" ht="13.5" hidden="false" customHeight="true" outlineLevel="0" collapsed="false">
      <c r="A146" s="11" t="n">
        <f aca="false">+A145+1</f>
        <v>145</v>
      </c>
      <c r="B146" s="20" t="n">
        <v>425547.25</v>
      </c>
      <c r="C146" s="21" t="n">
        <v>44641</v>
      </c>
      <c r="D146" s="22" t="s">
        <v>10</v>
      </c>
      <c r="E146" s="23" t="n">
        <v>33725</v>
      </c>
      <c r="F146" s="16" t="n">
        <f aca="false">DATEDIF(E146, "12/31/2025", "Y")</f>
        <v>33</v>
      </c>
      <c r="G146" s="16" t="n">
        <f aca="false">DATEDIF(C146, "12/31/2025", "Y")</f>
        <v>3</v>
      </c>
      <c r="H146" s="17" t="n">
        <f aca="false">_xlfn.IFS( G146&lt;10, 0, G146&lt;20, 0.45, G146&lt;30, 0.65, G146&lt;40, 0.85, G146&gt;=40, 1 )</f>
        <v>0</v>
      </c>
      <c r="I146" s="18" t="n">
        <f aca="false">_xlfn.IFS( G146&lt;10, 1, G146&lt;20, 2, G146&lt;30, 3, G146&lt;40, 4, G146&gt;=40, 5 )</f>
        <v>1</v>
      </c>
    </row>
    <row r="147" customFormat="false" ht="13.5" hidden="false" customHeight="true" outlineLevel="0" collapsed="false">
      <c r="A147" s="11" t="n">
        <f aca="false">+A146+1</f>
        <v>146</v>
      </c>
      <c r="B147" s="20" t="n">
        <v>861150.51</v>
      </c>
      <c r="C147" s="21" t="n">
        <v>44615</v>
      </c>
      <c r="D147" s="22" t="s">
        <v>9</v>
      </c>
      <c r="E147" s="23" t="n">
        <v>36791</v>
      </c>
      <c r="F147" s="16" t="n">
        <f aca="false">DATEDIF(E147, "12/31/2025", "Y")</f>
        <v>25</v>
      </c>
      <c r="G147" s="16" t="n">
        <f aca="false">DATEDIF(C147, "12/31/2025", "Y")</f>
        <v>3</v>
      </c>
      <c r="H147" s="17" t="n">
        <f aca="false">_xlfn.IFS( G147&lt;10, 0, G147&lt;20, 0.45, G147&lt;30, 0.65, G147&lt;40, 0.85, G147&gt;=40, 1 )</f>
        <v>0</v>
      </c>
      <c r="I147" s="18" t="n">
        <f aca="false">_xlfn.IFS( G147&lt;10, 1, G147&lt;20, 2, G147&lt;30, 3, G147&lt;40, 4, G147&gt;=40, 5 )</f>
        <v>1</v>
      </c>
    </row>
    <row r="148" customFormat="false" ht="13.5" hidden="false" customHeight="true" outlineLevel="0" collapsed="false">
      <c r="A148" s="11" t="n">
        <f aca="false">+A147+1</f>
        <v>147</v>
      </c>
      <c r="B148" s="20" t="n">
        <v>483375</v>
      </c>
      <c r="C148" s="21" t="n">
        <v>44713</v>
      </c>
      <c r="D148" s="22" t="s">
        <v>9</v>
      </c>
      <c r="E148" s="23" t="n">
        <v>28630</v>
      </c>
      <c r="F148" s="16" t="n">
        <f aca="false">DATEDIF(E148, "12/31/2025", "Y")</f>
        <v>47</v>
      </c>
      <c r="G148" s="16" t="n">
        <f aca="false">DATEDIF(C148, "12/31/2025", "Y")</f>
        <v>3</v>
      </c>
      <c r="H148" s="17" t="n">
        <f aca="false">_xlfn.IFS( G148&lt;10, 0, G148&lt;20, 0.45, G148&lt;30, 0.65, G148&lt;40, 0.85, G148&gt;=40, 1 )</f>
        <v>0</v>
      </c>
      <c r="I148" s="18" t="n">
        <f aca="false">_xlfn.IFS( G148&lt;10, 1, G148&lt;20, 2, G148&lt;30, 3, G148&lt;40, 4, G148&gt;=40, 5 )</f>
        <v>1</v>
      </c>
    </row>
    <row r="149" customFormat="false" ht="13.5" hidden="false" customHeight="true" outlineLevel="0" collapsed="false">
      <c r="A149" s="11" t="n">
        <f aca="false">+A148+1</f>
        <v>148</v>
      </c>
      <c r="B149" s="20" t="n">
        <v>1850047.38</v>
      </c>
      <c r="C149" s="21" t="n">
        <v>44627</v>
      </c>
      <c r="D149" s="22" t="s">
        <v>9</v>
      </c>
      <c r="E149" s="23" t="n">
        <v>34342</v>
      </c>
      <c r="F149" s="16" t="n">
        <f aca="false">DATEDIF(E149, "12/31/2025", "Y")</f>
        <v>31</v>
      </c>
      <c r="G149" s="16" t="n">
        <f aca="false">DATEDIF(C149, "12/31/2025", "Y")</f>
        <v>3</v>
      </c>
      <c r="H149" s="17" t="n">
        <f aca="false">_xlfn.IFS( G149&lt;10, 0, G149&lt;20, 0.45, G149&lt;30, 0.65, G149&lt;40, 0.85, G149&gt;=40, 1 )</f>
        <v>0</v>
      </c>
      <c r="I149" s="18" t="n">
        <f aca="false">_xlfn.IFS( G149&lt;10, 1, G149&lt;20, 2, G149&lt;30, 3, G149&lt;40, 4, G149&gt;=40, 5 )</f>
        <v>1</v>
      </c>
    </row>
    <row r="150" customFormat="false" ht="13.5" hidden="false" customHeight="true" outlineLevel="0" collapsed="false">
      <c r="A150" s="11" t="n">
        <f aca="false">+A149+1</f>
        <v>149</v>
      </c>
      <c r="B150" s="20" t="n">
        <v>769372</v>
      </c>
      <c r="C150" s="21" t="n">
        <v>44641</v>
      </c>
      <c r="D150" s="22" t="s">
        <v>9</v>
      </c>
      <c r="E150" s="23" t="n">
        <v>31070</v>
      </c>
      <c r="F150" s="16" t="n">
        <f aca="false">DATEDIF(E150, "12/31/2025", "Y")</f>
        <v>40</v>
      </c>
      <c r="G150" s="16" t="n">
        <f aca="false">DATEDIF(C150, "12/31/2025", "Y")</f>
        <v>3</v>
      </c>
      <c r="H150" s="17" t="n">
        <f aca="false">_xlfn.IFS( G150&lt;10, 0, G150&lt;20, 0.45, G150&lt;30, 0.65, G150&lt;40, 0.85, G150&gt;=40, 1 )</f>
        <v>0</v>
      </c>
      <c r="I150" s="18" t="n">
        <f aca="false">_xlfn.IFS( G150&lt;10, 1, G150&lt;20, 2, G150&lt;30, 3, G150&lt;40, 4, G150&gt;=40, 5 )</f>
        <v>1</v>
      </c>
    </row>
    <row r="151" customFormat="false" ht="13.5" hidden="false" customHeight="true" outlineLevel="0" collapsed="false">
      <c r="A151" s="11" t="n">
        <f aca="false">+A150+1</f>
        <v>150</v>
      </c>
      <c r="B151" s="20" t="n">
        <v>2243260.2</v>
      </c>
      <c r="C151" s="21" t="n">
        <v>44984</v>
      </c>
      <c r="D151" s="22" t="s">
        <v>9</v>
      </c>
      <c r="E151" s="23" t="n">
        <v>35207</v>
      </c>
      <c r="F151" s="16" t="n">
        <f aca="false">DATEDIF(E151, "12/31/2025", "Y")</f>
        <v>29</v>
      </c>
      <c r="G151" s="16" t="n">
        <f aca="false">DATEDIF(C151, "12/31/2025", "Y")</f>
        <v>2</v>
      </c>
      <c r="H151" s="17" t="n">
        <f aca="false">_xlfn.IFS( G151&lt;10, 0, G151&lt;20, 0.45, G151&lt;30, 0.65, G151&lt;40, 0.85, G151&gt;=40, 1 )</f>
        <v>0</v>
      </c>
      <c r="I151" s="18" t="n">
        <f aca="false">_xlfn.IFS( G151&lt;10, 1, G151&lt;20, 2, G151&lt;30, 3, G151&lt;40, 4, G151&gt;=40, 5 )</f>
        <v>1</v>
      </c>
    </row>
    <row r="152" customFormat="false" ht="13.5" hidden="false" customHeight="true" outlineLevel="0" collapsed="false">
      <c r="A152" s="11" t="n">
        <f aca="false">+A151+1</f>
        <v>151</v>
      </c>
      <c r="B152" s="20" t="n">
        <v>566683.3</v>
      </c>
      <c r="C152" s="21" t="n">
        <v>44655</v>
      </c>
      <c r="D152" s="22" t="s">
        <v>10</v>
      </c>
      <c r="E152" s="23" t="n">
        <v>34796</v>
      </c>
      <c r="F152" s="16" t="n">
        <f aca="false">DATEDIF(E152, "12/31/2025", "Y")</f>
        <v>30</v>
      </c>
      <c r="G152" s="16" t="n">
        <f aca="false">DATEDIF(C152, "12/31/2025", "Y")</f>
        <v>3</v>
      </c>
      <c r="H152" s="17" t="n">
        <f aca="false">_xlfn.IFS( G152&lt;10, 0, G152&lt;20, 0.45, G152&lt;30, 0.65, G152&lt;40, 0.85, G152&gt;=40, 1 )</f>
        <v>0</v>
      </c>
      <c r="I152" s="18" t="n">
        <f aca="false">_xlfn.IFS( G152&lt;10, 1, G152&lt;20, 2, G152&lt;30, 3, G152&lt;40, 4, G152&gt;=40, 5 )</f>
        <v>1</v>
      </c>
    </row>
    <row r="153" customFormat="false" ht="13.5" hidden="false" customHeight="true" outlineLevel="0" collapsed="false">
      <c r="A153" s="11" t="n">
        <f aca="false">+A152+1</f>
        <v>152</v>
      </c>
      <c r="B153" s="20" t="n">
        <v>672643</v>
      </c>
      <c r="C153" s="21" t="n">
        <v>44684</v>
      </c>
      <c r="D153" s="22" t="s">
        <v>10</v>
      </c>
      <c r="E153" s="23" t="n">
        <v>32123</v>
      </c>
      <c r="F153" s="16" t="n">
        <f aca="false">DATEDIF(E153, "12/31/2025", "Y")</f>
        <v>38</v>
      </c>
      <c r="G153" s="16" t="n">
        <f aca="false">DATEDIF(C153, "12/31/2025", "Y")</f>
        <v>3</v>
      </c>
      <c r="H153" s="17" t="n">
        <f aca="false">_xlfn.IFS( G153&lt;10, 0, G153&lt;20, 0.45, G153&lt;30, 0.65, G153&lt;40, 0.85, G153&gt;=40, 1 )</f>
        <v>0</v>
      </c>
      <c r="I153" s="18" t="n">
        <f aca="false">_xlfn.IFS( G153&lt;10, 1, G153&lt;20, 2, G153&lt;30, 3, G153&lt;40, 4, G153&gt;=40, 5 )</f>
        <v>1</v>
      </c>
    </row>
    <row r="154" customFormat="false" ht="13.5" hidden="false" customHeight="true" outlineLevel="0" collapsed="false">
      <c r="A154" s="11" t="n">
        <f aca="false">+A153+1</f>
        <v>153</v>
      </c>
      <c r="B154" s="20" t="n">
        <v>734554</v>
      </c>
      <c r="C154" s="21" t="n">
        <v>44697</v>
      </c>
      <c r="D154" s="22" t="s">
        <v>10</v>
      </c>
      <c r="E154" s="23" t="n">
        <v>31643</v>
      </c>
      <c r="F154" s="16" t="n">
        <f aca="false">DATEDIF(E154, "12/31/2025", "Y")</f>
        <v>39</v>
      </c>
      <c r="G154" s="16" t="n">
        <f aca="false">DATEDIF(C154, "12/31/2025", "Y")</f>
        <v>3</v>
      </c>
      <c r="H154" s="17" t="n">
        <f aca="false">_xlfn.IFS( G154&lt;10, 0, G154&lt;20, 0.45, G154&lt;30, 0.65, G154&lt;40, 0.85, G154&gt;=40, 1 )</f>
        <v>0</v>
      </c>
      <c r="I154" s="18" t="n">
        <f aca="false">_xlfn.IFS( G154&lt;10, 1, G154&lt;20, 2, G154&lt;30, 3, G154&lt;40, 4, G154&gt;=40, 5 )</f>
        <v>1</v>
      </c>
    </row>
    <row r="155" customFormat="false" ht="13.5" hidden="false" customHeight="true" outlineLevel="0" collapsed="false">
      <c r="A155" s="11" t="n">
        <f aca="false">+A154+1</f>
        <v>154</v>
      </c>
      <c r="B155" s="20" t="n">
        <v>559450</v>
      </c>
      <c r="C155" s="21" t="n">
        <v>44711</v>
      </c>
      <c r="D155" s="22" t="s">
        <v>9</v>
      </c>
      <c r="E155" s="23" t="n">
        <v>32367</v>
      </c>
      <c r="F155" s="16" t="n">
        <f aca="false">DATEDIF(E155, "12/31/2025", "Y")</f>
        <v>37</v>
      </c>
      <c r="G155" s="16" t="n">
        <f aca="false">DATEDIF(C155, "12/31/2025", "Y")</f>
        <v>3</v>
      </c>
      <c r="H155" s="17" t="n">
        <f aca="false">_xlfn.IFS( G155&lt;10, 0, G155&lt;20, 0.45, G155&lt;30, 0.65, G155&lt;40, 0.85, G155&gt;=40, 1 )</f>
        <v>0</v>
      </c>
      <c r="I155" s="18" t="n">
        <f aca="false">_xlfn.IFS( G155&lt;10, 1, G155&lt;20, 2, G155&lt;30, 3, G155&lt;40, 4, G155&gt;=40, 5 )</f>
        <v>1</v>
      </c>
    </row>
    <row r="156" customFormat="false" ht="13.5" hidden="false" customHeight="true" outlineLevel="0" collapsed="false">
      <c r="A156" s="11" t="n">
        <f aca="false">+A155+1</f>
        <v>155</v>
      </c>
      <c r="B156" s="20" t="n">
        <v>1024424</v>
      </c>
      <c r="C156" s="21" t="n">
        <v>44711</v>
      </c>
      <c r="D156" s="22" t="s">
        <v>10</v>
      </c>
      <c r="E156" s="23" t="n">
        <v>35206</v>
      </c>
      <c r="F156" s="16" t="n">
        <f aca="false">DATEDIF(E156, "12/31/2025", "Y")</f>
        <v>29</v>
      </c>
      <c r="G156" s="16" t="n">
        <f aca="false">DATEDIF(C156, "12/31/2025", "Y")</f>
        <v>3</v>
      </c>
      <c r="H156" s="17" t="n">
        <f aca="false">_xlfn.IFS( G156&lt;10, 0, G156&lt;20, 0.45, G156&lt;30, 0.65, G156&lt;40, 0.85, G156&gt;=40, 1 )</f>
        <v>0</v>
      </c>
      <c r="I156" s="18" t="n">
        <f aca="false">_xlfn.IFS( G156&lt;10, 1, G156&lt;20, 2, G156&lt;30, 3, G156&lt;40, 4, G156&gt;=40, 5 )</f>
        <v>1</v>
      </c>
    </row>
    <row r="157" customFormat="false" ht="13.5" hidden="false" customHeight="true" outlineLevel="0" collapsed="false">
      <c r="A157" s="11" t="n">
        <f aca="false">+A156+1</f>
        <v>156</v>
      </c>
      <c r="B157" s="20" t="n">
        <v>864066.85</v>
      </c>
      <c r="C157" s="21" t="n">
        <v>44739</v>
      </c>
      <c r="D157" s="22" t="s">
        <v>9</v>
      </c>
      <c r="E157" s="23" t="n">
        <v>34726</v>
      </c>
      <c r="F157" s="16" t="n">
        <f aca="false">DATEDIF(E157, "12/31/2025", "Y")</f>
        <v>30</v>
      </c>
      <c r="G157" s="16" t="n">
        <f aca="false">DATEDIF(C157, "12/31/2025", "Y")</f>
        <v>3</v>
      </c>
      <c r="H157" s="17" t="n">
        <f aca="false">_xlfn.IFS( G157&lt;10, 0, G157&lt;20, 0.45, G157&lt;30, 0.65, G157&lt;40, 0.85, G157&gt;=40, 1 )</f>
        <v>0</v>
      </c>
      <c r="I157" s="18" t="n">
        <f aca="false">_xlfn.IFS( G157&lt;10, 1, G157&lt;20, 2, G157&lt;30, 3, G157&lt;40, 4, G157&gt;=40, 5 )</f>
        <v>1</v>
      </c>
    </row>
    <row r="158" customFormat="false" ht="13.5" hidden="false" customHeight="true" outlineLevel="0" collapsed="false">
      <c r="A158" s="11" t="n">
        <f aca="false">+A157+1</f>
        <v>157</v>
      </c>
      <c r="B158" s="20" t="n">
        <v>510122</v>
      </c>
      <c r="C158" s="21" t="n">
        <v>44739</v>
      </c>
      <c r="D158" s="22" t="s">
        <v>9</v>
      </c>
      <c r="E158" s="23" t="n">
        <v>34863</v>
      </c>
      <c r="F158" s="16" t="n">
        <f aca="false">DATEDIF(E158, "12/31/2025", "Y")</f>
        <v>30</v>
      </c>
      <c r="G158" s="16" t="n">
        <f aca="false">DATEDIF(C158, "12/31/2025", "Y")</f>
        <v>3</v>
      </c>
      <c r="H158" s="17" t="n">
        <f aca="false">_xlfn.IFS( G158&lt;10, 0, G158&lt;20, 0.45, G158&lt;30, 0.65, G158&lt;40, 0.85, G158&gt;=40, 1 )</f>
        <v>0</v>
      </c>
      <c r="I158" s="18" t="n">
        <f aca="false">_xlfn.IFS( G158&lt;10, 1, G158&lt;20, 2, G158&lt;30, 3, G158&lt;40, 4, G158&gt;=40, 5 )</f>
        <v>1</v>
      </c>
    </row>
    <row r="159" customFormat="false" ht="13.5" hidden="false" customHeight="true" outlineLevel="0" collapsed="false">
      <c r="A159" s="11" t="n">
        <f aca="false">+A158+1</f>
        <v>158</v>
      </c>
      <c r="B159" s="20" t="n">
        <v>539787</v>
      </c>
      <c r="C159" s="21" t="n">
        <v>44753</v>
      </c>
      <c r="D159" s="22" t="s">
        <v>10</v>
      </c>
      <c r="E159" s="23" t="n">
        <v>32903</v>
      </c>
      <c r="F159" s="16" t="n">
        <f aca="false">DATEDIF(E159, "12/31/2025", "Y")</f>
        <v>35</v>
      </c>
      <c r="G159" s="16" t="n">
        <f aca="false">DATEDIF(C159, "12/31/2025", "Y")</f>
        <v>3</v>
      </c>
      <c r="H159" s="17" t="n">
        <f aca="false">_xlfn.IFS( G159&lt;10, 0, G159&lt;20, 0.45, G159&lt;30, 0.65, G159&lt;40, 0.85, G159&gt;=40, 1 )</f>
        <v>0</v>
      </c>
      <c r="I159" s="18" t="n">
        <f aca="false">_xlfn.IFS( G159&lt;10, 1, G159&lt;20, 2, G159&lt;30, 3, G159&lt;40, 4, G159&gt;=40, 5 )</f>
        <v>1</v>
      </c>
    </row>
    <row r="160" customFormat="false" ht="13.5" hidden="false" customHeight="true" outlineLevel="0" collapsed="false">
      <c r="A160" s="11" t="n">
        <f aca="false">+A159+1</f>
        <v>159</v>
      </c>
      <c r="B160" s="20" t="n">
        <v>1522792.05</v>
      </c>
      <c r="C160" s="21" t="n">
        <v>44768</v>
      </c>
      <c r="D160" s="22" t="s">
        <v>9</v>
      </c>
      <c r="E160" s="23" t="n">
        <v>31395</v>
      </c>
      <c r="F160" s="16" t="n">
        <f aca="false">DATEDIF(E160, "12/31/2025", "Y")</f>
        <v>40</v>
      </c>
      <c r="G160" s="16" t="n">
        <f aca="false">DATEDIF(C160, "12/31/2025", "Y")</f>
        <v>3</v>
      </c>
      <c r="H160" s="17" t="n">
        <f aca="false">_xlfn.IFS( G160&lt;10, 0, G160&lt;20, 0.45, G160&lt;30, 0.65, G160&lt;40, 0.85, G160&gt;=40, 1 )</f>
        <v>0</v>
      </c>
      <c r="I160" s="18" t="n">
        <f aca="false">_xlfn.IFS( G160&lt;10, 1, G160&lt;20, 2, G160&lt;30, 3, G160&lt;40, 4, G160&gt;=40, 5 )</f>
        <v>1</v>
      </c>
    </row>
    <row r="161" customFormat="false" ht="13.5" hidden="false" customHeight="true" outlineLevel="0" collapsed="false">
      <c r="A161" s="11" t="n">
        <f aca="false">+A160+1</f>
        <v>160</v>
      </c>
      <c r="B161" s="20" t="n">
        <v>546613.05</v>
      </c>
      <c r="C161" s="21" t="n">
        <v>44767</v>
      </c>
      <c r="D161" s="22" t="s">
        <v>9</v>
      </c>
      <c r="E161" s="23" t="n">
        <v>31181</v>
      </c>
      <c r="F161" s="16" t="n">
        <f aca="false">DATEDIF(E161, "12/31/2025", "Y")</f>
        <v>40</v>
      </c>
      <c r="G161" s="16" t="n">
        <f aca="false">DATEDIF(C161, "12/31/2025", "Y")</f>
        <v>3</v>
      </c>
      <c r="H161" s="17" t="n">
        <f aca="false">_xlfn.IFS( G161&lt;10, 0, G161&lt;20, 0.45, G161&lt;30, 0.65, G161&lt;40, 0.85, G161&gt;=40, 1 )</f>
        <v>0</v>
      </c>
      <c r="I161" s="18" t="n">
        <f aca="false">_xlfn.IFS( G161&lt;10, 1, G161&lt;20, 2, G161&lt;30, 3, G161&lt;40, 4, G161&gt;=40, 5 )</f>
        <v>1</v>
      </c>
    </row>
    <row r="162" customFormat="false" ht="13.5" hidden="false" customHeight="true" outlineLevel="0" collapsed="false">
      <c r="A162" s="11" t="n">
        <f aca="false">+A161+1</f>
        <v>161</v>
      </c>
      <c r="B162" s="20" t="n">
        <v>784984</v>
      </c>
      <c r="C162" s="21" t="n">
        <v>44768</v>
      </c>
      <c r="D162" s="22" t="s">
        <v>9</v>
      </c>
      <c r="E162" s="23" t="n">
        <v>33069</v>
      </c>
      <c r="F162" s="16" t="n">
        <f aca="false">DATEDIF(E162, "12/31/2025", "Y")</f>
        <v>35</v>
      </c>
      <c r="G162" s="16" t="n">
        <f aca="false">DATEDIF(C162, "12/31/2025", "Y")</f>
        <v>3</v>
      </c>
      <c r="H162" s="17" t="n">
        <f aca="false">_xlfn.IFS( G162&lt;10, 0, G162&lt;20, 0.45, G162&lt;30, 0.65, G162&lt;40, 0.85, G162&gt;=40, 1 )</f>
        <v>0</v>
      </c>
      <c r="I162" s="18" t="n">
        <f aca="false">_xlfn.IFS( G162&lt;10, 1, G162&lt;20, 2, G162&lt;30, 3, G162&lt;40, 4, G162&gt;=40, 5 )</f>
        <v>1</v>
      </c>
    </row>
    <row r="163" customFormat="false" ht="13.5" hidden="false" customHeight="true" outlineLevel="0" collapsed="false">
      <c r="A163" s="11" t="n">
        <f aca="false">+A162+1</f>
        <v>162</v>
      </c>
      <c r="B163" s="20" t="n">
        <v>782680</v>
      </c>
      <c r="C163" s="21" t="n">
        <v>44774</v>
      </c>
      <c r="D163" s="22" t="s">
        <v>10</v>
      </c>
      <c r="E163" s="23" t="n">
        <v>27279</v>
      </c>
      <c r="F163" s="16" t="n">
        <f aca="false">DATEDIF(E163, "12/31/2025", "Y")</f>
        <v>51</v>
      </c>
      <c r="G163" s="16" t="n">
        <f aca="false">DATEDIF(C163, "12/31/2025", "Y")</f>
        <v>3</v>
      </c>
      <c r="H163" s="17" t="n">
        <f aca="false">_xlfn.IFS( G163&lt;10, 0, G163&lt;20, 0.45, G163&lt;30, 0.65, G163&lt;40, 0.85, G163&gt;=40, 1 )</f>
        <v>0</v>
      </c>
      <c r="I163" s="18" t="n">
        <f aca="false">_xlfn.IFS( G163&lt;10, 1, G163&lt;20, 2, G163&lt;30, 3, G163&lt;40, 4, G163&gt;=40, 5 )</f>
        <v>1</v>
      </c>
    </row>
    <row r="164" customFormat="false" ht="13.5" hidden="false" customHeight="true" outlineLevel="0" collapsed="false">
      <c r="A164" s="11" t="n">
        <f aca="false">+A163+1</f>
        <v>163</v>
      </c>
      <c r="B164" s="20" t="n">
        <v>1951565.4</v>
      </c>
      <c r="C164" s="21" t="n">
        <v>44823</v>
      </c>
      <c r="D164" s="22" t="s">
        <v>9</v>
      </c>
      <c r="E164" s="23" t="n">
        <v>33335</v>
      </c>
      <c r="F164" s="16" t="n">
        <f aca="false">DATEDIF(E164, "12/31/2025", "Y")</f>
        <v>34</v>
      </c>
      <c r="G164" s="16" t="n">
        <f aca="false">DATEDIF(C164, "12/31/2025", "Y")</f>
        <v>3</v>
      </c>
      <c r="H164" s="17" t="n">
        <f aca="false">_xlfn.IFS( G164&lt;10, 0, G164&lt;20, 0.45, G164&lt;30, 0.65, G164&lt;40, 0.85, G164&gt;=40, 1 )</f>
        <v>0</v>
      </c>
      <c r="I164" s="18" t="n">
        <f aca="false">_xlfn.IFS( G164&lt;10, 1, G164&lt;20, 2, G164&lt;30, 3, G164&lt;40, 4, G164&gt;=40, 5 )</f>
        <v>1</v>
      </c>
    </row>
    <row r="165" customFormat="false" ht="13.5" hidden="false" customHeight="true" outlineLevel="0" collapsed="false">
      <c r="A165" s="11" t="n">
        <f aca="false">+A164+1</f>
        <v>164</v>
      </c>
      <c r="B165" s="20" t="n">
        <v>588205.6</v>
      </c>
      <c r="C165" s="21" t="n">
        <v>44823</v>
      </c>
      <c r="D165" s="22" t="s">
        <v>9</v>
      </c>
      <c r="E165" s="23" t="n">
        <v>31601</v>
      </c>
      <c r="F165" s="16" t="n">
        <f aca="false">DATEDIF(E165, "12/31/2025", "Y")</f>
        <v>39</v>
      </c>
      <c r="G165" s="16" t="n">
        <f aca="false">DATEDIF(C165, "12/31/2025", "Y")</f>
        <v>3</v>
      </c>
      <c r="H165" s="17" t="n">
        <f aca="false">_xlfn.IFS( G165&lt;10, 0, G165&lt;20, 0.45, G165&lt;30, 0.65, G165&lt;40, 0.85, G165&gt;=40, 1 )</f>
        <v>0</v>
      </c>
      <c r="I165" s="18" t="n">
        <f aca="false">_xlfn.IFS( G165&lt;10, 1, G165&lt;20, 2, G165&lt;30, 3, G165&lt;40, 4, G165&gt;=40, 5 )</f>
        <v>1</v>
      </c>
    </row>
    <row r="166" customFormat="false" ht="13.5" hidden="false" customHeight="true" outlineLevel="0" collapsed="false">
      <c r="A166" s="11" t="n">
        <f aca="false">+A165+1</f>
        <v>165</v>
      </c>
      <c r="B166" s="20" t="n">
        <v>489974</v>
      </c>
      <c r="C166" s="21" t="n">
        <v>44837</v>
      </c>
      <c r="D166" s="22" t="s">
        <v>10</v>
      </c>
      <c r="E166" s="23" t="n">
        <v>28992</v>
      </c>
      <c r="F166" s="16" t="n">
        <f aca="false">DATEDIF(E166, "12/31/2025", "Y")</f>
        <v>46</v>
      </c>
      <c r="G166" s="16" t="n">
        <f aca="false">DATEDIF(C166, "12/31/2025", "Y")</f>
        <v>3</v>
      </c>
      <c r="H166" s="17" t="n">
        <f aca="false">_xlfn.IFS( G166&lt;10, 0, G166&lt;20, 0.45, G166&lt;30, 0.65, G166&lt;40, 0.85, G166&gt;=40, 1 )</f>
        <v>0</v>
      </c>
      <c r="I166" s="18" t="n">
        <f aca="false">_xlfn.IFS( G166&lt;10, 1, G166&lt;20, 2, G166&lt;30, 3, G166&lt;40, 4, G166&gt;=40, 5 )</f>
        <v>1</v>
      </c>
    </row>
    <row r="167" customFormat="false" ht="13.5" hidden="false" customHeight="true" outlineLevel="0" collapsed="false">
      <c r="A167" s="11" t="n">
        <f aca="false">+A166+1</f>
        <v>166</v>
      </c>
      <c r="B167" s="20" t="n">
        <v>617762</v>
      </c>
      <c r="C167" s="21" t="n">
        <v>44851</v>
      </c>
      <c r="D167" s="22" t="s">
        <v>9</v>
      </c>
      <c r="E167" s="23" t="n">
        <v>33787</v>
      </c>
      <c r="F167" s="16" t="n">
        <f aca="false">DATEDIF(E167, "12/31/2025", "Y")</f>
        <v>33</v>
      </c>
      <c r="G167" s="16" t="n">
        <f aca="false">DATEDIF(C167, "12/31/2025", "Y")</f>
        <v>3</v>
      </c>
      <c r="H167" s="17" t="n">
        <f aca="false">_xlfn.IFS( G167&lt;10, 0, G167&lt;20, 0.45, G167&lt;30, 0.65, G167&lt;40, 0.85, G167&gt;=40, 1 )</f>
        <v>0</v>
      </c>
      <c r="I167" s="18" t="n">
        <f aca="false">_xlfn.IFS( G167&lt;10, 1, G167&lt;20, 2, G167&lt;30, 3, G167&lt;40, 4, G167&gt;=40, 5 )</f>
        <v>1</v>
      </c>
    </row>
    <row r="168" customFormat="false" ht="13.5" hidden="false" customHeight="true" outlineLevel="0" collapsed="false">
      <c r="A168" s="11" t="n">
        <f aca="false">+A167+1</f>
        <v>167</v>
      </c>
      <c r="B168" s="20" t="n">
        <v>405111.6</v>
      </c>
      <c r="C168" s="21" t="n">
        <v>44879</v>
      </c>
      <c r="D168" s="22" t="s">
        <v>10</v>
      </c>
      <c r="E168" s="23" t="n">
        <v>33306</v>
      </c>
      <c r="F168" s="16" t="n">
        <f aca="false">DATEDIF(E168, "12/31/2025", "Y")</f>
        <v>34</v>
      </c>
      <c r="G168" s="16" t="n">
        <f aca="false">DATEDIF(C168, "12/31/2025", "Y")</f>
        <v>3</v>
      </c>
      <c r="H168" s="17" t="n">
        <f aca="false">_xlfn.IFS( G168&lt;10, 0, G168&lt;20, 0.45, G168&lt;30, 0.65, G168&lt;40, 0.85, G168&gt;=40, 1 )</f>
        <v>0</v>
      </c>
      <c r="I168" s="18" t="n">
        <f aca="false">_xlfn.IFS( G168&lt;10, 1, G168&lt;20, 2, G168&lt;30, 3, G168&lt;40, 4, G168&gt;=40, 5 )</f>
        <v>1</v>
      </c>
    </row>
    <row r="169" customFormat="false" ht="13.5" hidden="false" customHeight="true" outlineLevel="0" collapsed="false">
      <c r="A169" s="11" t="n">
        <f aca="false">+A168+1</f>
        <v>168</v>
      </c>
      <c r="B169" s="20" t="n">
        <v>1328766.05</v>
      </c>
      <c r="C169" s="21" t="n">
        <v>45236</v>
      </c>
      <c r="D169" s="22" t="s">
        <v>9</v>
      </c>
      <c r="E169" s="23" t="n">
        <v>34340</v>
      </c>
      <c r="F169" s="16" t="n">
        <f aca="false">DATEDIF(E169, "12/31/2025", "Y")</f>
        <v>31</v>
      </c>
      <c r="G169" s="16" t="n">
        <f aca="false">DATEDIF(C169, "12/31/2025", "Y")</f>
        <v>2</v>
      </c>
      <c r="H169" s="17" t="n">
        <f aca="false">_xlfn.IFS( G169&lt;10, 0, G169&lt;20, 0.45, G169&lt;30, 0.65, G169&lt;40, 0.85, G169&gt;=40, 1 )</f>
        <v>0</v>
      </c>
      <c r="I169" s="18" t="n">
        <f aca="false">_xlfn.IFS( G169&lt;10, 1, G169&lt;20, 2, G169&lt;30, 3, G169&lt;40, 4, G169&gt;=40, 5 )</f>
        <v>1</v>
      </c>
    </row>
    <row r="170" customFormat="false" ht="13.5" hidden="false" customHeight="true" outlineLevel="0" collapsed="false">
      <c r="A170" s="11" t="n">
        <f aca="false">+A169+1</f>
        <v>169</v>
      </c>
      <c r="B170" s="20" t="n">
        <v>850747.6</v>
      </c>
      <c r="C170" s="21" t="n">
        <v>45201</v>
      </c>
      <c r="D170" s="22" t="s">
        <v>9</v>
      </c>
      <c r="E170" s="23" t="n">
        <v>36630</v>
      </c>
      <c r="F170" s="16" t="n">
        <f aca="false">DATEDIF(E170, "12/31/2025", "Y")</f>
        <v>25</v>
      </c>
      <c r="G170" s="16" t="n">
        <f aca="false">DATEDIF(C170, "12/31/2025", "Y")</f>
        <v>2</v>
      </c>
      <c r="H170" s="17" t="n">
        <f aca="false">_xlfn.IFS( G170&lt;10, 0, G170&lt;20, 0.45, G170&lt;30, 0.65, G170&lt;40, 0.85, G170&gt;=40, 1 )</f>
        <v>0</v>
      </c>
      <c r="I170" s="18" t="n">
        <f aca="false">_xlfn.IFS( G170&lt;10, 1, G170&lt;20, 2, G170&lt;30, 3, G170&lt;40, 4, G170&gt;=40, 5 )</f>
        <v>1</v>
      </c>
    </row>
    <row r="171" customFormat="false" ht="13.5" hidden="false" customHeight="true" outlineLevel="0" collapsed="false">
      <c r="A171" s="11" t="n">
        <f aca="false">+A170+1</f>
        <v>170</v>
      </c>
      <c r="B171" s="20" t="n">
        <v>823111.6</v>
      </c>
      <c r="C171" s="21" t="n">
        <v>44956</v>
      </c>
      <c r="D171" s="22" t="s">
        <v>10</v>
      </c>
      <c r="E171" s="23" t="n">
        <v>29896</v>
      </c>
      <c r="F171" s="16" t="n">
        <f aca="false">DATEDIF(E171, "12/31/2025", "Y")</f>
        <v>44</v>
      </c>
      <c r="G171" s="16" t="n">
        <f aca="false">DATEDIF(C171, "12/31/2025", "Y")</f>
        <v>2</v>
      </c>
      <c r="H171" s="17" t="n">
        <f aca="false">_xlfn.IFS( G171&lt;10, 0, G171&lt;20, 0.45, G171&lt;30, 0.65, G171&lt;40, 0.85, G171&gt;=40, 1 )</f>
        <v>0</v>
      </c>
      <c r="I171" s="18" t="n">
        <f aca="false">_xlfn.IFS( G171&lt;10, 1, G171&lt;20, 2, G171&lt;30, 3, G171&lt;40, 4, G171&gt;=40, 5 )</f>
        <v>1</v>
      </c>
    </row>
    <row r="172" customFormat="false" ht="13.5" hidden="false" customHeight="true" outlineLevel="0" collapsed="false">
      <c r="A172" s="11" t="n">
        <f aca="false">+A171+1</f>
        <v>171</v>
      </c>
      <c r="B172" s="20" t="n">
        <v>825263.3</v>
      </c>
      <c r="C172" s="21" t="n">
        <v>45012</v>
      </c>
      <c r="D172" s="22" t="s">
        <v>9</v>
      </c>
      <c r="E172" s="23" t="n">
        <v>30129</v>
      </c>
      <c r="F172" s="16" t="n">
        <f aca="false">DATEDIF(E172, "12/31/2025", "Y")</f>
        <v>43</v>
      </c>
      <c r="G172" s="16" t="n">
        <f aca="false">DATEDIF(C172, "12/31/2025", "Y")</f>
        <v>2</v>
      </c>
      <c r="H172" s="17" t="n">
        <f aca="false">_xlfn.IFS( G172&lt;10, 0, G172&lt;20, 0.45, G172&lt;30, 0.65, G172&lt;40, 0.85, G172&gt;=40, 1 )</f>
        <v>0</v>
      </c>
      <c r="I172" s="18" t="n">
        <f aca="false">_xlfn.IFS( G172&lt;10, 1, G172&lt;20, 2, G172&lt;30, 3, G172&lt;40, 4, G172&gt;=40, 5 )</f>
        <v>1</v>
      </c>
    </row>
    <row r="173" customFormat="false" ht="13.5" hidden="false" customHeight="true" outlineLevel="0" collapsed="false">
      <c r="A173" s="11" t="n">
        <f aca="false">+A172+1</f>
        <v>172</v>
      </c>
      <c r="B173" s="20" t="n">
        <v>1730016.1</v>
      </c>
      <c r="C173" s="21" t="n">
        <v>44956</v>
      </c>
      <c r="D173" s="22" t="s">
        <v>9</v>
      </c>
      <c r="E173" s="23" t="n">
        <v>31086</v>
      </c>
      <c r="F173" s="16" t="n">
        <f aca="false">DATEDIF(E173, "12/31/2025", "Y")</f>
        <v>40</v>
      </c>
      <c r="G173" s="16" t="n">
        <f aca="false">DATEDIF(C173, "12/31/2025", "Y")</f>
        <v>2</v>
      </c>
      <c r="H173" s="17" t="n">
        <f aca="false">_xlfn.IFS( G173&lt;10, 0, G173&lt;20, 0.45, G173&lt;30, 0.65, G173&lt;40, 0.85, G173&gt;=40, 1 )</f>
        <v>0</v>
      </c>
      <c r="I173" s="18" t="n">
        <f aca="false">_xlfn.IFS( G173&lt;10, 1, G173&lt;20, 2, G173&lt;30, 3, G173&lt;40, 4, G173&gt;=40, 5 )</f>
        <v>1</v>
      </c>
    </row>
    <row r="174" customFormat="false" ht="13.5" hidden="false" customHeight="true" outlineLevel="0" collapsed="false">
      <c r="A174" s="11" t="n">
        <f aca="false">+A173+1</f>
        <v>173</v>
      </c>
      <c r="B174" s="20" t="n">
        <v>880666.29</v>
      </c>
      <c r="C174" s="21" t="n">
        <v>44991</v>
      </c>
      <c r="D174" s="22" t="s">
        <v>10</v>
      </c>
      <c r="E174" s="23" t="n">
        <v>33451</v>
      </c>
      <c r="F174" s="16" t="n">
        <f aca="false">DATEDIF(E174, "12/31/2025", "Y")</f>
        <v>34</v>
      </c>
      <c r="G174" s="16" t="n">
        <f aca="false">DATEDIF(C174, "12/31/2025", "Y")</f>
        <v>2</v>
      </c>
      <c r="H174" s="17" t="n">
        <f aca="false">_xlfn.IFS( G174&lt;10, 0, G174&lt;20, 0.45, G174&lt;30, 0.65, G174&lt;40, 0.85, G174&gt;=40, 1 )</f>
        <v>0</v>
      </c>
      <c r="I174" s="18" t="n">
        <f aca="false">_xlfn.IFS( G174&lt;10, 1, G174&lt;20, 2, G174&lt;30, 3, G174&lt;40, 4, G174&gt;=40, 5 )</f>
        <v>1</v>
      </c>
    </row>
    <row r="175" customFormat="false" ht="13.5" hidden="false" customHeight="true" outlineLevel="0" collapsed="false">
      <c r="A175" s="11" t="n">
        <f aca="false">+A174+1</f>
        <v>174</v>
      </c>
      <c r="B175" s="20" t="n">
        <v>1857589</v>
      </c>
      <c r="C175" s="21" t="n">
        <v>44991</v>
      </c>
      <c r="D175" s="22" t="s">
        <v>9</v>
      </c>
      <c r="E175" s="23" t="n">
        <v>35964</v>
      </c>
      <c r="F175" s="16" t="n">
        <f aca="false">DATEDIF(E175, "12/31/2025", "Y")</f>
        <v>27</v>
      </c>
      <c r="G175" s="16" t="n">
        <f aca="false">DATEDIF(C175, "12/31/2025", "Y")</f>
        <v>2</v>
      </c>
      <c r="H175" s="17" t="n">
        <f aca="false">_xlfn.IFS( G175&lt;10, 0, G175&lt;20, 0.45, G175&lt;30, 0.65, G175&lt;40, 0.85, G175&gt;=40, 1 )</f>
        <v>0</v>
      </c>
      <c r="I175" s="18" t="n">
        <f aca="false">_xlfn.IFS( G175&lt;10, 1, G175&lt;20, 2, G175&lt;30, 3, G175&lt;40, 4, G175&gt;=40, 5 )</f>
        <v>1</v>
      </c>
    </row>
    <row r="176" customFormat="false" ht="13.5" hidden="false" customHeight="true" outlineLevel="0" collapsed="false">
      <c r="A176" s="11" t="n">
        <f aca="false">+A175+1</f>
        <v>175</v>
      </c>
      <c r="B176" s="20" t="n">
        <v>1976811.4</v>
      </c>
      <c r="C176" s="21" t="n">
        <v>45005</v>
      </c>
      <c r="D176" s="22" t="s">
        <v>10</v>
      </c>
      <c r="E176" s="23" t="n">
        <v>30341</v>
      </c>
      <c r="F176" s="16" t="n">
        <f aca="false">DATEDIF(E176, "12/31/2025", "Y")</f>
        <v>42</v>
      </c>
      <c r="G176" s="16" t="n">
        <f aca="false">DATEDIF(C176, "12/31/2025", "Y")</f>
        <v>2</v>
      </c>
      <c r="H176" s="17" t="n">
        <f aca="false">_xlfn.IFS( G176&lt;10, 0, G176&lt;20, 0.45, G176&lt;30, 0.65, G176&lt;40, 0.85, G176&gt;=40, 1 )</f>
        <v>0</v>
      </c>
      <c r="I176" s="18" t="n">
        <f aca="false">_xlfn.IFS( G176&lt;10, 1, G176&lt;20, 2, G176&lt;30, 3, G176&lt;40, 4, G176&gt;=40, 5 )</f>
        <v>1</v>
      </c>
    </row>
    <row r="177" customFormat="false" ht="13.5" hidden="false" customHeight="true" outlineLevel="0" collapsed="false">
      <c r="A177" s="11" t="n">
        <f aca="false">+A176+1</f>
        <v>176</v>
      </c>
      <c r="B177" s="20" t="n">
        <v>1906245.4</v>
      </c>
      <c r="C177" s="21" t="n">
        <v>45418</v>
      </c>
      <c r="D177" s="22" t="s">
        <v>10</v>
      </c>
      <c r="E177" s="23" t="n">
        <v>37274</v>
      </c>
      <c r="F177" s="16" t="n">
        <f aca="false">DATEDIF(E177, "12/31/2025", "Y")</f>
        <v>23</v>
      </c>
      <c r="G177" s="16" t="n">
        <f aca="false">DATEDIF(C177, "12/31/2025", "Y")</f>
        <v>1</v>
      </c>
      <c r="H177" s="17" t="n">
        <f aca="false">_xlfn.IFS( G177&lt;10, 0, G177&lt;20, 0.45, G177&lt;30, 0.65, G177&lt;40, 0.85, G177&gt;=40, 1 )</f>
        <v>0</v>
      </c>
      <c r="I177" s="18" t="n">
        <f aca="false">_xlfn.IFS( G177&lt;10, 1, G177&lt;20, 2, G177&lt;30, 3, G177&lt;40, 4, G177&gt;=40, 5 )</f>
        <v>1</v>
      </c>
    </row>
    <row r="178" customFormat="false" ht="13.5" hidden="false" customHeight="true" outlineLevel="0" collapsed="false">
      <c r="A178" s="11" t="n">
        <f aca="false">+A177+1</f>
        <v>177</v>
      </c>
      <c r="B178" s="20" t="n">
        <v>766247.5</v>
      </c>
      <c r="C178" s="21" t="n">
        <v>45138</v>
      </c>
      <c r="D178" s="22" t="s">
        <v>10</v>
      </c>
      <c r="E178" s="23" t="n">
        <v>34503</v>
      </c>
      <c r="F178" s="16" t="n">
        <f aca="false">DATEDIF(E178, "12/31/2025", "Y")</f>
        <v>31</v>
      </c>
      <c r="G178" s="16" t="n">
        <f aca="false">DATEDIF(C178, "12/31/2025", "Y")</f>
        <v>2</v>
      </c>
      <c r="H178" s="17" t="n">
        <f aca="false">_xlfn.IFS( G178&lt;10, 0, G178&lt;20, 0.45, G178&lt;30, 0.65, G178&lt;40, 0.85, G178&gt;=40, 1 )</f>
        <v>0</v>
      </c>
      <c r="I178" s="18" t="n">
        <f aca="false">_xlfn.IFS( G178&lt;10, 1, G178&lt;20, 2, G178&lt;30, 3, G178&lt;40, 4, G178&gt;=40, 5 )</f>
        <v>1</v>
      </c>
    </row>
    <row r="179" customFormat="false" ht="13.5" hidden="false" customHeight="true" outlineLevel="0" collapsed="false">
      <c r="A179" s="11" t="n">
        <f aca="false">+A178+1</f>
        <v>178</v>
      </c>
      <c r="B179" s="20" t="n">
        <v>787529</v>
      </c>
      <c r="C179" s="21" t="n">
        <v>45145</v>
      </c>
      <c r="D179" s="22" t="s">
        <v>9</v>
      </c>
      <c r="E179" s="23" t="n">
        <v>35051</v>
      </c>
      <c r="F179" s="16" t="n">
        <f aca="false">DATEDIF(E179, "12/31/2025", "Y")</f>
        <v>30</v>
      </c>
      <c r="G179" s="16" t="n">
        <f aca="false">DATEDIF(C179, "12/31/2025", "Y")</f>
        <v>2</v>
      </c>
      <c r="H179" s="17" t="n">
        <f aca="false">_xlfn.IFS( G179&lt;10, 0, G179&lt;20, 0.45, G179&lt;30, 0.65, G179&lt;40, 0.85, G179&gt;=40, 1 )</f>
        <v>0</v>
      </c>
      <c r="I179" s="18" t="n">
        <f aca="false">_xlfn.IFS( G179&lt;10, 1, G179&lt;20, 2, G179&lt;30, 3, G179&lt;40, 4, G179&gt;=40, 5 )</f>
        <v>1</v>
      </c>
    </row>
    <row r="180" customFormat="false" ht="13.5" hidden="false" customHeight="true" outlineLevel="0" collapsed="false">
      <c r="A180" s="11" t="n">
        <f aca="false">+A179+1</f>
        <v>179</v>
      </c>
      <c r="B180" s="20" t="n">
        <v>766508</v>
      </c>
      <c r="C180" s="21" t="n">
        <v>45236</v>
      </c>
      <c r="D180" s="22" t="s">
        <v>10</v>
      </c>
      <c r="E180" s="23" t="n">
        <v>36836</v>
      </c>
      <c r="F180" s="16" t="n">
        <f aca="false">DATEDIF(E180, "12/31/2025", "Y")</f>
        <v>25</v>
      </c>
      <c r="G180" s="16" t="n">
        <f aca="false">DATEDIF(C180, "12/31/2025", "Y")</f>
        <v>2</v>
      </c>
      <c r="H180" s="17" t="n">
        <f aca="false">_xlfn.IFS( G180&lt;10, 0, G180&lt;20, 0.45, G180&lt;30, 0.65, G180&lt;40, 0.85, G180&gt;=40, 1 )</f>
        <v>0</v>
      </c>
      <c r="I180" s="18" t="n">
        <f aca="false">_xlfn.IFS( G180&lt;10, 1, G180&lt;20, 2, G180&lt;30, 3, G180&lt;40, 4, G180&gt;=40, 5 )</f>
        <v>1</v>
      </c>
    </row>
    <row r="181" customFormat="false" ht="13.5" hidden="false" customHeight="true" outlineLevel="0" collapsed="false">
      <c r="A181" s="11" t="n">
        <f aca="false">+A180+1</f>
        <v>180</v>
      </c>
      <c r="B181" s="20" t="n">
        <v>524135</v>
      </c>
      <c r="C181" s="21" t="n">
        <v>45201</v>
      </c>
      <c r="D181" s="22" t="s">
        <v>9</v>
      </c>
      <c r="E181" s="23" t="n">
        <v>34389</v>
      </c>
      <c r="F181" s="16" t="n">
        <f aca="false">DATEDIF(E181, "12/31/2025", "Y")</f>
        <v>31</v>
      </c>
      <c r="G181" s="16" t="n">
        <f aca="false">DATEDIF(C181, "12/31/2025", "Y")</f>
        <v>2</v>
      </c>
      <c r="H181" s="17" t="n">
        <f aca="false">_xlfn.IFS( G181&lt;10, 0, G181&lt;20, 0.45, G181&lt;30, 0.65, G181&lt;40, 0.85, G181&gt;=40, 1 )</f>
        <v>0</v>
      </c>
      <c r="I181" s="18" t="n">
        <f aca="false">_xlfn.IFS( G181&lt;10, 1, G181&lt;20, 2, G181&lt;30, 3, G181&lt;40, 4, G181&gt;=40, 5 )</f>
        <v>1</v>
      </c>
    </row>
    <row r="182" customFormat="false" ht="13.5" hidden="false" customHeight="true" outlineLevel="0" collapsed="false">
      <c r="A182" s="11" t="n">
        <f aca="false">+A181+1</f>
        <v>181</v>
      </c>
      <c r="B182" s="20" t="n">
        <v>2051722.1</v>
      </c>
      <c r="C182" s="21" t="n">
        <v>45250</v>
      </c>
      <c r="D182" s="22" t="s">
        <v>9</v>
      </c>
      <c r="E182" s="23" t="n">
        <v>33981</v>
      </c>
      <c r="F182" s="16" t="n">
        <f aca="false">DATEDIF(E182, "12/31/2025", "Y")</f>
        <v>32</v>
      </c>
      <c r="G182" s="16" t="n">
        <f aca="false">DATEDIF(C182, "12/31/2025", "Y")</f>
        <v>2</v>
      </c>
      <c r="H182" s="17" t="n">
        <f aca="false">_xlfn.IFS( G182&lt;10, 0, G182&lt;20, 0.45, G182&lt;30, 0.65, G182&lt;40, 0.85, G182&gt;=40, 1 )</f>
        <v>0</v>
      </c>
      <c r="I182" s="18" t="n">
        <f aca="false">_xlfn.IFS( G182&lt;10, 1, G182&lt;20, 2, G182&lt;30, 3, G182&lt;40, 4, G182&gt;=40, 5 )</f>
        <v>1</v>
      </c>
    </row>
    <row r="183" customFormat="false" ht="13.5" hidden="false" customHeight="true" outlineLevel="0" collapsed="false">
      <c r="A183" s="11" t="n">
        <f aca="false">+A182+1</f>
        <v>182</v>
      </c>
      <c r="B183" s="20" t="n">
        <v>767935.05</v>
      </c>
      <c r="C183" s="21" t="n">
        <v>45236</v>
      </c>
      <c r="D183" s="22" t="s">
        <v>10</v>
      </c>
      <c r="E183" s="23" t="n">
        <v>35546</v>
      </c>
      <c r="F183" s="16" t="n">
        <f aca="false">DATEDIF(E183, "12/31/2025", "Y")</f>
        <v>28</v>
      </c>
      <c r="G183" s="16" t="n">
        <f aca="false">DATEDIF(C183, "12/31/2025", "Y")</f>
        <v>2</v>
      </c>
      <c r="H183" s="17" t="n">
        <f aca="false">_xlfn.IFS( G183&lt;10, 0, G183&lt;20, 0.45, G183&lt;30, 0.65, G183&lt;40, 0.85, G183&gt;=40, 1 )</f>
        <v>0</v>
      </c>
      <c r="I183" s="18" t="n">
        <f aca="false">_xlfn.IFS( G183&lt;10, 1, G183&lt;20, 2, G183&lt;30, 3, G183&lt;40, 4, G183&gt;=40, 5 )</f>
        <v>1</v>
      </c>
    </row>
    <row r="184" customFormat="false" ht="13.5" hidden="false" customHeight="true" outlineLevel="0" collapsed="false">
      <c r="A184" s="11" t="n">
        <f aca="false">+A183+1</f>
        <v>183</v>
      </c>
      <c r="B184" s="20" t="n">
        <v>757253.6</v>
      </c>
      <c r="C184" s="21" t="n">
        <v>45229</v>
      </c>
      <c r="D184" s="22" t="s">
        <v>10</v>
      </c>
      <c r="E184" s="23" t="n">
        <v>32697</v>
      </c>
      <c r="F184" s="16" t="n">
        <f aca="false">DATEDIF(E184, "12/31/2025", "Y")</f>
        <v>36</v>
      </c>
      <c r="G184" s="16" t="n">
        <f aca="false">DATEDIF(C184, "12/31/2025", "Y")</f>
        <v>2</v>
      </c>
      <c r="H184" s="17" t="n">
        <f aca="false">_xlfn.IFS( G184&lt;10, 0, G184&lt;20, 0.45, G184&lt;30, 0.65, G184&lt;40, 0.85, G184&gt;=40, 1 )</f>
        <v>0</v>
      </c>
      <c r="I184" s="18" t="n">
        <f aca="false">_xlfn.IFS( G184&lt;10, 1, G184&lt;20, 2, G184&lt;30, 3, G184&lt;40, 4, G184&gt;=40, 5 )</f>
        <v>1</v>
      </c>
    </row>
    <row r="185" customFormat="false" ht="13.5" hidden="false" customHeight="true" outlineLevel="0" collapsed="false">
      <c r="A185" s="11" t="n">
        <f aca="false">+A184+1</f>
        <v>184</v>
      </c>
      <c r="B185" s="20" t="n">
        <v>539036</v>
      </c>
      <c r="C185" s="21" t="n">
        <v>45264</v>
      </c>
      <c r="D185" s="22" t="s">
        <v>10</v>
      </c>
      <c r="E185" s="23" t="n">
        <v>29682</v>
      </c>
      <c r="F185" s="16" t="n">
        <f aca="false">DATEDIF(E185, "12/31/2025", "Y")</f>
        <v>44</v>
      </c>
      <c r="G185" s="16" t="n">
        <f aca="false">DATEDIF(C185, "12/31/2025", "Y")</f>
        <v>2</v>
      </c>
      <c r="H185" s="17" t="n">
        <f aca="false">_xlfn.IFS( G185&lt;10, 0, G185&lt;20, 0.45, G185&lt;30, 0.65, G185&lt;40, 0.85, G185&gt;=40, 1 )</f>
        <v>0</v>
      </c>
      <c r="I185" s="18" t="n">
        <f aca="false">_xlfn.IFS( G185&lt;10, 1, G185&lt;20, 2, G185&lt;30, 3, G185&lt;40, 4, G185&gt;=40, 5 )</f>
        <v>1</v>
      </c>
    </row>
    <row r="186" customFormat="false" ht="13.5" hidden="false" customHeight="true" outlineLevel="0" collapsed="false">
      <c r="A186" s="11" t="n">
        <f aca="false">+A185+1</f>
        <v>185</v>
      </c>
      <c r="B186" s="20" t="n">
        <v>2061217.4</v>
      </c>
      <c r="C186" s="21" t="n">
        <v>45264</v>
      </c>
      <c r="D186" s="22" t="s">
        <v>9</v>
      </c>
      <c r="E186" s="23" t="n">
        <v>33362</v>
      </c>
      <c r="F186" s="16" t="n">
        <f aca="false">DATEDIF(E186, "12/31/2025", "Y")</f>
        <v>34</v>
      </c>
      <c r="G186" s="16" t="n">
        <f aca="false">DATEDIF(C186, "12/31/2025", "Y")</f>
        <v>2</v>
      </c>
      <c r="H186" s="17" t="n">
        <f aca="false">_xlfn.IFS( G186&lt;10, 0, G186&lt;20, 0.45, G186&lt;30, 0.65, G186&lt;40, 0.85, G186&gt;=40, 1 )</f>
        <v>0</v>
      </c>
      <c r="I186" s="18" t="n">
        <f aca="false">_xlfn.IFS( G186&lt;10, 1, G186&lt;20, 2, G186&lt;30, 3, G186&lt;40, 4, G186&gt;=40, 5 )</f>
        <v>1</v>
      </c>
    </row>
    <row r="187" customFormat="false" ht="13.5" hidden="false" customHeight="true" outlineLevel="0" collapsed="false">
      <c r="A187" s="11" t="n">
        <f aca="false">+A186+1</f>
        <v>186</v>
      </c>
      <c r="B187" s="20" t="n">
        <v>896689</v>
      </c>
      <c r="C187" s="21" t="n">
        <v>45600</v>
      </c>
      <c r="D187" s="22" t="s">
        <v>9</v>
      </c>
      <c r="E187" s="23" t="n">
        <v>37025</v>
      </c>
      <c r="F187" s="16" t="n">
        <f aca="false">DATEDIF(E187, "12/31/2025", "Y")</f>
        <v>24</v>
      </c>
      <c r="G187" s="16" t="n">
        <f aca="false">DATEDIF(C187, "12/31/2025", "Y")</f>
        <v>1</v>
      </c>
      <c r="H187" s="17" t="n">
        <f aca="false">_xlfn.IFS( G187&lt;10, 0, G187&lt;20, 0.45, G187&lt;30, 0.65, G187&lt;40, 0.85, G187&gt;=40, 1 )</f>
        <v>0</v>
      </c>
      <c r="I187" s="18" t="n">
        <f aca="false">_xlfn.IFS( G187&lt;10, 1, G187&lt;20, 2, G187&lt;30, 3, G187&lt;40, 4, G187&gt;=40, 5 )</f>
        <v>1</v>
      </c>
    </row>
    <row r="188" customFormat="false" ht="13.5" hidden="false" customHeight="true" outlineLevel="0" collapsed="false">
      <c r="A188" s="11" t="n">
        <f aca="false">+A187+1</f>
        <v>187</v>
      </c>
      <c r="B188" s="20" t="n">
        <v>619379</v>
      </c>
      <c r="C188" s="21" t="n">
        <v>45369</v>
      </c>
      <c r="D188" s="22" t="s">
        <v>9</v>
      </c>
      <c r="E188" s="23" t="n">
        <v>33852</v>
      </c>
      <c r="F188" s="16" t="n">
        <f aca="false">DATEDIF(E188, "12/31/2025", "Y")</f>
        <v>33</v>
      </c>
      <c r="G188" s="16" t="n">
        <f aca="false">DATEDIF(C188, "12/31/2025", "Y")</f>
        <v>1</v>
      </c>
      <c r="H188" s="17" t="n">
        <f aca="false">_xlfn.IFS( G188&lt;10, 0, G188&lt;20, 0.45, G188&lt;30, 0.65, G188&lt;40, 0.85, G188&gt;=40, 1 )</f>
        <v>0</v>
      </c>
      <c r="I188" s="18" t="n">
        <f aca="false">_xlfn.IFS( G188&lt;10, 1, G188&lt;20, 2, G188&lt;30, 3, G188&lt;40, 4, G188&gt;=40, 5 )</f>
        <v>1</v>
      </c>
    </row>
    <row r="189" customFormat="false" ht="13.5" hidden="false" customHeight="true" outlineLevel="0" collapsed="false">
      <c r="A189" s="11" t="n">
        <f aca="false">+A188+1</f>
        <v>188</v>
      </c>
      <c r="B189" s="20" t="n">
        <v>850747.6</v>
      </c>
      <c r="C189" s="21" t="n">
        <v>45390</v>
      </c>
      <c r="D189" s="22" t="s">
        <v>9</v>
      </c>
      <c r="E189" s="23" t="n">
        <v>35073</v>
      </c>
      <c r="F189" s="16" t="n">
        <f aca="false">DATEDIF(E189, "12/31/2025", "Y")</f>
        <v>29</v>
      </c>
      <c r="G189" s="16" t="n">
        <f aca="false">DATEDIF(C189, "12/31/2025", "Y")</f>
        <v>1</v>
      </c>
      <c r="H189" s="17" t="n">
        <f aca="false">_xlfn.IFS( G189&lt;10, 0, G189&lt;20, 0.45, G189&lt;30, 0.65, G189&lt;40, 0.85, G189&gt;=40, 1 )</f>
        <v>0</v>
      </c>
      <c r="I189" s="18" t="n">
        <f aca="false">_xlfn.IFS( G189&lt;10, 1, G189&lt;20, 2, G189&lt;30, 3, G189&lt;40, 4, G189&gt;=40, 5 )</f>
        <v>1</v>
      </c>
    </row>
    <row r="190" customFormat="false" ht="13.5" hidden="false" customHeight="true" outlineLevel="0" collapsed="false">
      <c r="A190" s="11" t="n">
        <f aca="false">+A189+1</f>
        <v>189</v>
      </c>
      <c r="B190" s="20" t="n">
        <v>1790164.49</v>
      </c>
      <c r="C190" s="21" t="n">
        <v>45418</v>
      </c>
      <c r="D190" s="22" t="s">
        <v>9</v>
      </c>
      <c r="E190" s="23" t="n">
        <v>35118</v>
      </c>
      <c r="F190" s="16" t="n">
        <f aca="false">DATEDIF(E190, "12/31/2025", "Y")</f>
        <v>29</v>
      </c>
      <c r="G190" s="16" t="n">
        <f aca="false">DATEDIF(C190, "12/31/2025", "Y")</f>
        <v>1</v>
      </c>
      <c r="H190" s="17" t="n">
        <f aca="false">_xlfn.IFS( G190&lt;10, 0, G190&lt;20, 0.45, G190&lt;30, 0.65, G190&lt;40, 0.85, G190&gt;=40, 1 )</f>
        <v>0</v>
      </c>
      <c r="I190" s="18" t="n">
        <f aca="false">_xlfn.IFS( G190&lt;10, 1, G190&lt;20, 2, G190&lt;30, 3, G190&lt;40, 4, G190&gt;=40, 5 )</f>
        <v>1</v>
      </c>
    </row>
    <row r="191" customFormat="false" ht="13.5" hidden="false" customHeight="true" outlineLevel="0" collapsed="false">
      <c r="A191" s="11" t="n">
        <f aca="false">+A190+1</f>
        <v>190</v>
      </c>
      <c r="B191" s="20" t="n">
        <v>1379700</v>
      </c>
      <c r="C191" s="21" t="n">
        <v>45418</v>
      </c>
      <c r="D191" s="22" t="s">
        <v>9</v>
      </c>
      <c r="E191" s="23" t="n">
        <v>36096</v>
      </c>
      <c r="F191" s="16" t="n">
        <f aca="false">DATEDIF(E191, "12/31/2025", "Y")</f>
        <v>27</v>
      </c>
      <c r="G191" s="16" t="n">
        <f aca="false">DATEDIF(C191, "12/31/2025", "Y")</f>
        <v>1</v>
      </c>
      <c r="H191" s="17" t="n">
        <f aca="false">_xlfn.IFS( G191&lt;10, 0, G191&lt;20, 0.45, G191&lt;30, 0.65, G191&lt;40, 0.85, G191&gt;=40, 1 )</f>
        <v>0</v>
      </c>
      <c r="I191" s="18" t="n">
        <f aca="false">_xlfn.IFS( G191&lt;10, 1, G191&lt;20, 2, G191&lt;30, 3, G191&lt;40, 4, G191&gt;=40, 5 )</f>
        <v>1</v>
      </c>
    </row>
    <row r="192" customFormat="false" ht="13.5" hidden="false" customHeight="true" outlineLevel="0" collapsed="false">
      <c r="A192" s="11" t="n">
        <f aca="false">+A191+1</f>
        <v>191</v>
      </c>
      <c r="B192" s="20" t="n">
        <v>2120993.8</v>
      </c>
      <c r="C192" s="21" t="n">
        <v>45418</v>
      </c>
      <c r="D192" s="22" t="s">
        <v>10</v>
      </c>
      <c r="E192" s="23" t="n">
        <v>35858</v>
      </c>
      <c r="F192" s="16" t="n">
        <f aca="false">DATEDIF(E192, "12/31/2025", "Y")</f>
        <v>27</v>
      </c>
      <c r="G192" s="16" t="n">
        <f aca="false">DATEDIF(C192, "12/31/2025", "Y")</f>
        <v>1</v>
      </c>
      <c r="H192" s="17" t="n">
        <f aca="false">_xlfn.IFS( G192&lt;10, 0, G192&lt;20, 0.45, G192&lt;30, 0.65, G192&lt;40, 0.85, G192&gt;=40, 1 )</f>
        <v>0</v>
      </c>
      <c r="I192" s="18" t="n">
        <f aca="false">_xlfn.IFS( G192&lt;10, 1, G192&lt;20, 2, G192&lt;30, 3, G192&lt;40, 4, G192&gt;=40, 5 )</f>
        <v>1</v>
      </c>
    </row>
    <row r="193" customFormat="false" ht="13.5" hidden="false" customHeight="true" outlineLevel="0" collapsed="false">
      <c r="A193" s="11" t="n">
        <f aca="false">+A192+1</f>
        <v>192</v>
      </c>
      <c r="B193" s="20" t="n">
        <v>1789927</v>
      </c>
      <c r="C193" s="21" t="n">
        <v>45418</v>
      </c>
      <c r="D193" s="22" t="s">
        <v>10</v>
      </c>
      <c r="E193" s="23" t="n">
        <v>34961</v>
      </c>
      <c r="F193" s="16" t="n">
        <f aca="false">DATEDIF(E193, "12/31/2025", "Y")</f>
        <v>30</v>
      </c>
      <c r="G193" s="16" t="n">
        <f aca="false">DATEDIF(C193, "12/31/2025", "Y")</f>
        <v>1</v>
      </c>
      <c r="H193" s="17" t="n">
        <f aca="false">_xlfn.IFS( G193&lt;10, 0, G193&lt;20, 0.45, G193&lt;30, 0.65, G193&lt;40, 0.85, G193&gt;=40, 1 )</f>
        <v>0</v>
      </c>
      <c r="I193" s="18" t="n">
        <f aca="false">_xlfn.IFS( G193&lt;10, 1, G193&lt;20, 2, G193&lt;30, 3, G193&lt;40, 4, G193&gt;=40, 5 )</f>
        <v>1</v>
      </c>
    </row>
    <row r="194" customFormat="false" ht="13.5" hidden="false" customHeight="true" outlineLevel="0" collapsed="false">
      <c r="A194" s="11" t="n">
        <f aca="false">+A193+1</f>
        <v>193</v>
      </c>
      <c r="B194" s="20" t="n">
        <v>737046</v>
      </c>
      <c r="C194" s="21" t="n">
        <v>45421</v>
      </c>
      <c r="D194" s="22" t="s">
        <v>9</v>
      </c>
      <c r="E194" s="23" t="n">
        <v>31418</v>
      </c>
      <c r="F194" s="16" t="n">
        <f aca="false">DATEDIF(E194, "12/31/2025", "Y")</f>
        <v>39</v>
      </c>
      <c r="G194" s="16" t="n">
        <f aca="false">DATEDIF(C194, "12/31/2025", "Y")</f>
        <v>1</v>
      </c>
      <c r="H194" s="17" t="n">
        <f aca="false">_xlfn.IFS( G194&lt;10, 0, G194&lt;20, 0.45, G194&lt;30, 0.65, G194&lt;40, 0.85, G194&gt;=40, 1 )</f>
        <v>0</v>
      </c>
      <c r="I194" s="18" t="n">
        <f aca="false">_xlfn.IFS( G194&lt;10, 1, G194&lt;20, 2, G194&lt;30, 3, G194&lt;40, 4, G194&gt;=40, 5 )</f>
        <v>1</v>
      </c>
    </row>
    <row r="195" customFormat="false" ht="13.5" hidden="false" customHeight="true" outlineLevel="0" collapsed="false">
      <c r="A195" s="11" t="n">
        <f aca="false">+A194+1</f>
        <v>194</v>
      </c>
      <c r="B195" s="20" t="n">
        <v>832859.91</v>
      </c>
      <c r="C195" s="21" t="n">
        <v>45446</v>
      </c>
      <c r="D195" s="22" t="s">
        <v>10</v>
      </c>
      <c r="E195" s="23" t="n">
        <v>32567</v>
      </c>
      <c r="F195" s="16" t="n">
        <f aca="false">DATEDIF(E195, "12/31/2025", "Y")</f>
        <v>36</v>
      </c>
      <c r="G195" s="16" t="n">
        <f aca="false">DATEDIF(C195, "12/31/2025", "Y")</f>
        <v>1</v>
      </c>
      <c r="H195" s="17" t="n">
        <f aca="false">_xlfn.IFS( G195&lt;10, 0, G195&lt;20, 0.45, G195&lt;30, 0.65, G195&lt;40, 0.85, G195&gt;=40, 1 )</f>
        <v>0</v>
      </c>
      <c r="I195" s="18" t="n">
        <f aca="false">_xlfn.IFS( G195&lt;10, 1, G195&lt;20, 2, G195&lt;30, 3, G195&lt;40, 4, G195&gt;=40, 5 )</f>
        <v>1</v>
      </c>
    </row>
    <row r="196" customFormat="false" ht="13.5" hidden="false" customHeight="true" outlineLevel="0" collapsed="false">
      <c r="A196" s="11" t="n">
        <f aca="false">+A195+1</f>
        <v>195</v>
      </c>
      <c r="B196" s="20" t="n">
        <v>3018720.6</v>
      </c>
      <c r="C196" s="21" t="n">
        <v>45474</v>
      </c>
      <c r="D196" s="22" t="s">
        <v>10</v>
      </c>
      <c r="E196" s="23" t="n">
        <v>33414</v>
      </c>
      <c r="F196" s="16" t="n">
        <f aca="false">DATEDIF(E196, "12/31/2025", "Y")</f>
        <v>34</v>
      </c>
      <c r="G196" s="16" t="n">
        <f aca="false">DATEDIF(C196, "12/31/2025", "Y")</f>
        <v>1</v>
      </c>
      <c r="H196" s="17" t="n">
        <f aca="false">_xlfn.IFS( G196&lt;10, 0, G196&lt;20, 0.45, G196&lt;30, 0.65, G196&lt;40, 0.85, G196&gt;=40, 1 )</f>
        <v>0</v>
      </c>
      <c r="I196" s="18" t="n">
        <f aca="false">_xlfn.IFS( G196&lt;10, 1, G196&lt;20, 2, G196&lt;30, 3, G196&lt;40, 4, G196&gt;=40, 5 )</f>
        <v>1</v>
      </c>
    </row>
    <row r="197" customFormat="false" ht="13.5" hidden="false" customHeight="true" outlineLevel="0" collapsed="false">
      <c r="A197" s="11" t="n">
        <f aca="false">+A196+1</f>
        <v>196</v>
      </c>
      <c r="B197" s="20" t="n">
        <v>1795546.5</v>
      </c>
      <c r="C197" s="21" t="n">
        <v>45677</v>
      </c>
      <c r="D197" s="22" t="s">
        <v>10</v>
      </c>
      <c r="E197" s="23" t="n">
        <v>37725</v>
      </c>
      <c r="F197" s="16" t="n">
        <f aca="false">DATEDIF(E197, "12/31/2025", "Y")</f>
        <v>22</v>
      </c>
      <c r="G197" s="16" t="n">
        <f aca="false">DATEDIF(C197, "12/31/2025", "Y")</f>
        <v>0</v>
      </c>
      <c r="H197" s="17" t="n">
        <f aca="false">_xlfn.IFS( G197&lt;10, 0, G197&lt;20, 0.45, G197&lt;30, 0.65, G197&lt;40, 0.85, G197&gt;=40, 1 )</f>
        <v>0</v>
      </c>
      <c r="I197" s="18" t="n">
        <f aca="false">_xlfn.IFS( G197&lt;10, 1, G197&lt;20, 2, G197&lt;30, 3, G197&lt;40, 4, G197&gt;=40, 5 )</f>
        <v>1</v>
      </c>
    </row>
    <row r="198" customFormat="false" ht="13.5" hidden="false" customHeight="true" outlineLevel="0" collapsed="false">
      <c r="A198" s="11" t="n">
        <f aca="false">+A197+1</f>
        <v>197</v>
      </c>
      <c r="B198" s="20" t="n">
        <v>1599447.75</v>
      </c>
      <c r="C198" s="21" t="n">
        <v>45677</v>
      </c>
      <c r="D198" s="22" t="s">
        <v>10</v>
      </c>
      <c r="E198" s="23" t="n">
        <v>37239</v>
      </c>
      <c r="F198" s="16" t="n">
        <f aca="false">DATEDIF(E198, "12/31/2025", "Y")</f>
        <v>24</v>
      </c>
      <c r="G198" s="16" t="n">
        <f aca="false">DATEDIF(C198, "12/31/2025", "Y")</f>
        <v>0</v>
      </c>
      <c r="H198" s="17" t="n">
        <f aca="false">_xlfn.IFS( G198&lt;10, 0, G198&lt;20, 0.45, G198&lt;30, 0.65, G198&lt;40, 0.85, G198&gt;=40, 1 )</f>
        <v>0</v>
      </c>
      <c r="I198" s="18" t="n">
        <f aca="false">_xlfn.IFS( G198&lt;10, 1, G198&lt;20, 2, G198&lt;30, 3, G198&lt;40, 4, G198&gt;=40, 5 )</f>
        <v>1</v>
      </c>
    </row>
    <row r="199" customFormat="false" ht="13.5" hidden="false" customHeight="true" outlineLevel="0" collapsed="false">
      <c r="A199" s="11" t="n">
        <f aca="false">+A198+1</f>
        <v>198</v>
      </c>
      <c r="B199" s="20" t="n">
        <v>765779</v>
      </c>
      <c r="C199" s="21" t="n">
        <v>45509</v>
      </c>
      <c r="D199" s="22" t="s">
        <v>10</v>
      </c>
      <c r="E199" s="23" t="n">
        <v>33422</v>
      </c>
      <c r="F199" s="16" t="n">
        <f aca="false">DATEDIF(E199, "12/31/2025", "Y")</f>
        <v>34</v>
      </c>
      <c r="G199" s="16" t="n">
        <f aca="false">DATEDIF(C199, "12/31/2025", "Y")</f>
        <v>1</v>
      </c>
      <c r="H199" s="17" t="n">
        <f aca="false">_xlfn.IFS( G199&lt;10, 0, G199&lt;20, 0.45, G199&lt;30, 0.65, G199&lt;40, 0.85, G199&gt;=40, 1 )</f>
        <v>0</v>
      </c>
      <c r="I199" s="18" t="n">
        <f aca="false">_xlfn.IFS( G199&lt;10, 1, G199&lt;20, 2, G199&lt;30, 3, G199&lt;40, 4, G199&gt;=40, 5 )</f>
        <v>1</v>
      </c>
    </row>
    <row r="200" customFormat="false" ht="13.5" hidden="false" customHeight="true" outlineLevel="0" collapsed="false">
      <c r="A200" s="11" t="n">
        <f aca="false">+A199+1</f>
        <v>199</v>
      </c>
      <c r="B200" s="20" t="n">
        <v>607171.75</v>
      </c>
      <c r="C200" s="21" t="n">
        <v>45516</v>
      </c>
      <c r="D200" s="22" t="s">
        <v>9</v>
      </c>
      <c r="E200" s="23" t="n">
        <v>36704</v>
      </c>
      <c r="F200" s="16" t="n">
        <f aca="false">DATEDIF(E200, "12/31/2025", "Y")</f>
        <v>25</v>
      </c>
      <c r="G200" s="16" t="n">
        <f aca="false">DATEDIF(C200, "12/31/2025", "Y")</f>
        <v>1</v>
      </c>
      <c r="H200" s="17" t="n">
        <f aca="false">_xlfn.IFS( G200&lt;10, 0, G200&lt;20, 0.45, G200&lt;30, 0.65, G200&lt;40, 0.85, G200&gt;=40, 1 )</f>
        <v>0</v>
      </c>
      <c r="I200" s="18" t="n">
        <f aca="false">_xlfn.IFS( G200&lt;10, 1, G200&lt;20, 2, G200&lt;30, 3, G200&lt;40, 4, G200&gt;=40, 5 )</f>
        <v>1</v>
      </c>
    </row>
    <row r="201" customFormat="false" ht="13.5" hidden="false" customHeight="true" outlineLevel="0" collapsed="false">
      <c r="A201" s="11" t="n">
        <f aca="false">+A200+1</f>
        <v>200</v>
      </c>
      <c r="B201" s="20" t="n">
        <v>853801</v>
      </c>
      <c r="C201" s="21" t="n">
        <v>45558</v>
      </c>
      <c r="D201" s="22" t="s">
        <v>10</v>
      </c>
      <c r="E201" s="23" t="n">
        <v>36888</v>
      </c>
      <c r="F201" s="16" t="n">
        <f aca="false">DATEDIF(E201, "12/31/2025", "Y")</f>
        <v>25</v>
      </c>
      <c r="G201" s="16" t="n">
        <f aca="false">DATEDIF(C201, "12/31/2025", "Y")</f>
        <v>1</v>
      </c>
      <c r="H201" s="17" t="n">
        <f aca="false">_xlfn.IFS( G201&lt;10, 0, G201&lt;20, 0.45, G201&lt;30, 0.65, G201&lt;40, 0.85, G201&gt;=40, 1 )</f>
        <v>0</v>
      </c>
      <c r="I201" s="18" t="n">
        <f aca="false">_xlfn.IFS( G201&lt;10, 1, G201&lt;20, 2, G201&lt;30, 3, G201&lt;40, 4, G201&gt;=40, 5 )</f>
        <v>1</v>
      </c>
    </row>
    <row r="202" customFormat="false" ht="13.5" hidden="false" customHeight="true" outlineLevel="0" collapsed="false">
      <c r="A202" s="11" t="n">
        <f aca="false">+A201+1</f>
        <v>201</v>
      </c>
      <c r="B202" s="20" t="n">
        <v>1750556.6</v>
      </c>
      <c r="C202" s="21" t="n">
        <v>45572</v>
      </c>
      <c r="D202" s="22" t="s">
        <v>10</v>
      </c>
      <c r="E202" s="23" t="n">
        <v>27334</v>
      </c>
      <c r="F202" s="16" t="n">
        <f aca="false">DATEDIF(E202, "12/31/2025", "Y")</f>
        <v>51</v>
      </c>
      <c r="G202" s="16" t="n">
        <f aca="false">DATEDIF(C202, "12/31/2025", "Y")</f>
        <v>1</v>
      </c>
      <c r="H202" s="17" t="n">
        <f aca="false">_xlfn.IFS( G202&lt;10, 0, G202&lt;20, 0.45, G202&lt;30, 0.65, G202&lt;40, 0.85, G202&gt;=40, 1 )</f>
        <v>0</v>
      </c>
      <c r="I202" s="18" t="n">
        <f aca="false">_xlfn.IFS( G202&lt;10, 1, G202&lt;20, 2, G202&lt;30, 3, G202&lt;40, 4, G202&gt;=40, 5 )</f>
        <v>1</v>
      </c>
    </row>
    <row r="203" customFormat="false" ht="13.5" hidden="false" customHeight="true" outlineLevel="0" collapsed="false">
      <c r="A203" s="11" t="n">
        <f aca="false">+A202+1</f>
        <v>202</v>
      </c>
      <c r="B203" s="20" t="n">
        <v>892201.6</v>
      </c>
      <c r="C203" s="21" t="n">
        <v>45628</v>
      </c>
      <c r="D203" s="22" t="s">
        <v>10</v>
      </c>
      <c r="E203" s="23" t="n">
        <v>36021</v>
      </c>
      <c r="F203" s="16" t="n">
        <f aca="false">DATEDIF(E203, "12/31/2025", "Y")</f>
        <v>27</v>
      </c>
      <c r="G203" s="16" t="n">
        <f aca="false">DATEDIF(C203, "12/31/2025", "Y")</f>
        <v>1</v>
      </c>
      <c r="H203" s="17" t="n">
        <f aca="false">_xlfn.IFS( G203&lt;10, 0, G203&lt;20, 0.45, G203&lt;30, 0.65, G203&lt;40, 0.85, G203&gt;=40, 1 )</f>
        <v>0</v>
      </c>
      <c r="I203" s="18" t="n">
        <f aca="false">_xlfn.IFS( G203&lt;10, 1, G203&lt;20, 2, G203&lt;30, 3, G203&lt;40, 4, G203&gt;=40, 5 )</f>
        <v>1</v>
      </c>
    </row>
    <row r="204" customFormat="false" ht="13.5" hidden="false" customHeight="true" outlineLevel="0" collapsed="false">
      <c r="A204" s="11" t="n">
        <f aca="false">+A203+1</f>
        <v>203</v>
      </c>
      <c r="B204" s="20" t="n">
        <v>644864</v>
      </c>
      <c r="C204" s="21" t="n">
        <v>45663</v>
      </c>
      <c r="D204" s="22" t="s">
        <v>10</v>
      </c>
      <c r="E204" s="23" t="n">
        <v>27456</v>
      </c>
      <c r="F204" s="16" t="n">
        <f aca="false">DATEDIF(E204, "12/31/2025", "Y")</f>
        <v>50</v>
      </c>
      <c r="G204" s="16" t="n">
        <f aca="false">DATEDIF(C204, "12/31/2025", "Y")</f>
        <v>0</v>
      </c>
      <c r="H204" s="17" t="n">
        <f aca="false">_xlfn.IFS( G204&lt;10, 0, G204&lt;20, 0.45, G204&lt;30, 0.65, G204&lt;40, 0.85, G204&gt;=40, 1 )</f>
        <v>0</v>
      </c>
      <c r="I204" s="18" t="n">
        <f aca="false">_xlfn.IFS( G204&lt;10, 1, G204&lt;20, 2, G204&lt;30, 3, G204&lt;40, 4, G204&gt;=40, 5 )</f>
        <v>1</v>
      </c>
    </row>
    <row r="205" customFormat="false" ht="13.5" hidden="false" customHeight="true" outlineLevel="0" collapsed="false">
      <c r="A205" s="11" t="n">
        <f aca="false">+A204+1</f>
        <v>204</v>
      </c>
      <c r="B205" s="20" t="n">
        <v>725934.7</v>
      </c>
      <c r="C205" s="21" t="n">
        <v>45691</v>
      </c>
      <c r="D205" s="22" t="s">
        <v>9</v>
      </c>
      <c r="E205" s="23" t="n">
        <v>29222</v>
      </c>
      <c r="F205" s="16" t="n">
        <f aca="false">DATEDIF(E205, "12/31/2025", "Y")</f>
        <v>45</v>
      </c>
      <c r="G205" s="16" t="n">
        <f aca="false">DATEDIF(C205, "12/31/2025", "Y")</f>
        <v>0</v>
      </c>
      <c r="H205" s="17" t="n">
        <f aca="false">_xlfn.IFS( G205&lt;10, 0, G205&lt;20, 0.45, G205&lt;30, 0.65, G205&lt;40, 0.85, G205&gt;=40, 1 )</f>
        <v>0</v>
      </c>
      <c r="I205" s="18" t="n">
        <f aca="false">_xlfn.IFS( G205&lt;10, 1, G205&lt;20, 2, G205&lt;30, 3, G205&lt;40, 4, G205&gt;=40, 5 )</f>
        <v>1</v>
      </c>
    </row>
    <row r="206" customFormat="false" ht="13.5" hidden="false" customHeight="true" outlineLevel="0" collapsed="false">
      <c r="A206" s="11" t="n">
        <f aca="false">+A205+1</f>
        <v>205</v>
      </c>
      <c r="B206" s="20" t="n">
        <v>871494.7</v>
      </c>
      <c r="C206" s="21" t="n">
        <v>45705</v>
      </c>
      <c r="D206" s="22" t="s">
        <v>10</v>
      </c>
      <c r="E206" s="23" t="n">
        <v>26959</v>
      </c>
      <c r="F206" s="16" t="n">
        <f aca="false">DATEDIF(E206, "12/31/2025", "Y")</f>
        <v>52</v>
      </c>
      <c r="G206" s="16" t="n">
        <f aca="false">DATEDIF(C206, "12/31/2025", "Y")</f>
        <v>0</v>
      </c>
      <c r="H206" s="17" t="n">
        <f aca="false">_xlfn.IFS( G206&lt;10, 0, G206&lt;20, 0.45, G206&lt;30, 0.65, G206&lt;40, 0.85, G206&gt;=40, 1 )</f>
        <v>0</v>
      </c>
      <c r="I206" s="18" t="n">
        <f aca="false">_xlfn.IFS( G206&lt;10, 1, G206&lt;20, 2, G206&lt;30, 3, G206&lt;40, 4, G206&gt;=40, 5 )</f>
        <v>1</v>
      </c>
    </row>
    <row r="207" customFormat="false" ht="13.5" hidden="false" customHeight="true" outlineLevel="0" collapsed="false">
      <c r="A207" s="11" t="n">
        <f aca="false">+A206+1</f>
        <v>206</v>
      </c>
      <c r="B207" s="20" t="n">
        <v>598004</v>
      </c>
      <c r="C207" s="21" t="n">
        <v>45733</v>
      </c>
      <c r="D207" s="22" t="s">
        <v>10</v>
      </c>
      <c r="E207" s="23" t="n">
        <v>29787</v>
      </c>
      <c r="F207" s="16" t="n">
        <f aca="false">DATEDIF(E207, "12/31/2025", "Y")</f>
        <v>44</v>
      </c>
      <c r="G207" s="16" t="n">
        <f aca="false">DATEDIF(C207, "12/31/2025", "Y")</f>
        <v>0</v>
      </c>
      <c r="H207" s="17" t="n">
        <f aca="false">_xlfn.IFS( G207&lt;10, 0, G207&lt;20, 0.45, G207&lt;30, 0.65, G207&lt;40, 0.85, G207&gt;=40, 1 )</f>
        <v>0</v>
      </c>
      <c r="I207" s="18" t="n">
        <f aca="false">_xlfn.IFS( G207&lt;10, 1, G207&lt;20, 2, G207&lt;30, 3, G207&lt;40, 4, G207&gt;=40, 5 )</f>
        <v>1</v>
      </c>
    </row>
    <row r="208" customFormat="false" ht="13.5" hidden="false" customHeight="true" outlineLevel="0" collapsed="false">
      <c r="A208" s="11" t="n">
        <f aca="false">+A207+1</f>
        <v>207</v>
      </c>
      <c r="B208" s="20" t="n">
        <v>262223.35</v>
      </c>
      <c r="C208" s="21" t="n">
        <v>45768</v>
      </c>
      <c r="D208" s="22" t="s">
        <v>10</v>
      </c>
      <c r="E208" s="23" t="n">
        <v>33137</v>
      </c>
      <c r="F208" s="16" t="n">
        <f aca="false">DATEDIF(E208, "12/31/2025", "Y")</f>
        <v>35</v>
      </c>
      <c r="G208" s="16" t="n">
        <f aca="false">DATEDIF(C208, "12/31/2025", "Y")</f>
        <v>0</v>
      </c>
      <c r="H208" s="17" t="n">
        <f aca="false">_xlfn.IFS( G208&lt;10, 0, G208&lt;20, 0.45, G208&lt;30, 0.65, G208&lt;40, 0.85, G208&gt;=40, 1 )</f>
        <v>0</v>
      </c>
      <c r="I208" s="18" t="n">
        <f aca="false">_xlfn.IFS( G208&lt;10, 1, G208&lt;20, 2, G208&lt;30, 3, G208&lt;40, 4, G208&gt;=40, 5 )</f>
        <v>1</v>
      </c>
    </row>
    <row r="209" customFormat="false" ht="13.5" hidden="false" customHeight="true" outlineLevel="0" collapsed="false">
      <c r="A209" s="11" t="n">
        <f aca="false">+A208+1</f>
        <v>208</v>
      </c>
      <c r="B209" s="20" t="n">
        <v>552763.45</v>
      </c>
      <c r="C209" s="21" t="n">
        <v>45796</v>
      </c>
      <c r="D209" s="22" t="s">
        <v>9</v>
      </c>
      <c r="E209" s="23" t="n">
        <v>29357</v>
      </c>
      <c r="F209" s="16" t="n">
        <f aca="false">DATEDIF(E209, "12/31/2025", "Y")</f>
        <v>45</v>
      </c>
      <c r="G209" s="16" t="n">
        <f aca="false">DATEDIF(C209, "12/31/2025", "Y")</f>
        <v>0</v>
      </c>
      <c r="H209" s="17" t="n">
        <f aca="false">_xlfn.IFS( G209&lt;10, 0, G209&lt;20, 0.45, G209&lt;30, 0.65, G209&lt;40, 0.85, G209&gt;=40, 1 )</f>
        <v>0</v>
      </c>
      <c r="I209" s="18" t="n">
        <f aca="false">_xlfn.IFS( G209&lt;10, 1, G209&lt;20, 2, G209&lt;30, 3, G209&lt;40, 4, G209&gt;=40, 5 )</f>
        <v>1</v>
      </c>
    </row>
    <row r="210" customFormat="false" ht="13.5" hidden="false" customHeight="true" outlineLevel="0" collapsed="false">
      <c r="A210" s="11" t="n">
        <f aca="false">+A209+1</f>
        <v>209</v>
      </c>
      <c r="B210" s="20" t="n">
        <v>643477.6</v>
      </c>
      <c r="C210" s="21" t="n">
        <v>45824</v>
      </c>
      <c r="D210" s="22" t="s">
        <v>9</v>
      </c>
      <c r="E210" s="23" t="n">
        <v>33585</v>
      </c>
      <c r="F210" s="16" t="n">
        <f aca="false">DATEDIF(E210, "12/31/2025", "Y")</f>
        <v>34</v>
      </c>
      <c r="G210" s="16" t="n">
        <f aca="false">DATEDIF(C210, "12/31/2025", "Y")</f>
        <v>0</v>
      </c>
      <c r="H210" s="17" t="n">
        <f aca="false">_xlfn.IFS( G210&lt;10, 0, G210&lt;20, 0.45, G210&lt;30, 0.65, G210&lt;40, 0.85, G210&gt;=40, 1 )</f>
        <v>0</v>
      </c>
      <c r="I210" s="18" t="n">
        <f aca="false">_xlfn.IFS( G210&lt;10, 1, G210&lt;20, 2, G210&lt;30, 3, G210&lt;40, 4, G210&gt;=40, 5 )</f>
        <v>1</v>
      </c>
    </row>
    <row r="211" customFormat="false" ht="13.5" hidden="false" customHeight="true" outlineLevel="0" collapsed="false">
      <c r="A211" s="11" t="n">
        <f aca="false">+A210+1</f>
        <v>210</v>
      </c>
      <c r="B211" s="20" t="n">
        <v>195573.15</v>
      </c>
      <c r="C211" s="21" t="n">
        <v>45810</v>
      </c>
      <c r="D211" s="22" t="s">
        <v>10</v>
      </c>
      <c r="E211" s="23" t="n">
        <v>33376</v>
      </c>
      <c r="F211" s="16" t="n">
        <f aca="false">DATEDIF(E211, "12/31/2025", "Y")</f>
        <v>34</v>
      </c>
      <c r="G211" s="16" t="n">
        <f aca="false">DATEDIF(C211, "12/31/2025", "Y")</f>
        <v>0</v>
      </c>
      <c r="H211" s="17" t="n">
        <f aca="false">_xlfn.IFS( G211&lt;10, 0, G211&lt;20, 0.45, G211&lt;30, 0.65, G211&lt;40, 0.85, G211&gt;=40, 1 )</f>
        <v>0</v>
      </c>
      <c r="I211" s="18" t="n">
        <f aca="false">_xlfn.IFS( G211&lt;10, 1, G211&lt;20, 2, G211&lt;30, 3, G211&lt;40, 4, G211&gt;=40, 5 )</f>
        <v>1</v>
      </c>
    </row>
    <row r="212" customFormat="false" ht="13.5" hidden="false" customHeight="true" outlineLevel="0" collapsed="false">
      <c r="A212" s="11" t="n">
        <f aca="false">+A211+1</f>
        <v>211</v>
      </c>
      <c r="B212" s="20" t="n">
        <v>1570390</v>
      </c>
      <c r="C212" s="21" t="n">
        <v>45810</v>
      </c>
      <c r="D212" s="22" t="s">
        <v>9</v>
      </c>
      <c r="E212" s="23" t="n">
        <v>32504</v>
      </c>
      <c r="F212" s="16" t="n">
        <f aca="false">DATEDIF(E212, "12/31/2025", "Y")</f>
        <v>37</v>
      </c>
      <c r="G212" s="16" t="n">
        <f aca="false">DATEDIF(C212, "12/31/2025", "Y")</f>
        <v>0</v>
      </c>
      <c r="H212" s="17" t="n">
        <f aca="false">_xlfn.IFS( G212&lt;10, 0, G212&lt;20, 0.45, G212&lt;30, 0.65, G212&lt;40, 0.85, G212&gt;=40, 1 )</f>
        <v>0</v>
      </c>
      <c r="I212" s="18" t="n">
        <f aca="false">_xlfn.IFS( G212&lt;10, 1, G212&lt;20, 2, G212&lt;30, 3, G212&lt;40, 4, G212&gt;=40, 5 )</f>
        <v>1</v>
      </c>
    </row>
    <row r="213" customFormat="false" ht="13.5" hidden="false" customHeight="true" outlineLevel="0" collapsed="false">
      <c r="A213" s="11" t="n">
        <f aca="false">+A212+1</f>
        <v>212</v>
      </c>
      <c r="B213" s="20" t="n">
        <v>583737.5</v>
      </c>
      <c r="C213" s="21" t="n">
        <v>45852</v>
      </c>
      <c r="D213" s="22" t="s">
        <v>9</v>
      </c>
      <c r="E213" s="23" t="n">
        <v>35078</v>
      </c>
      <c r="F213" s="16" t="n">
        <f aca="false">DATEDIF(E213, "12/31/2025", "Y")</f>
        <v>29</v>
      </c>
      <c r="G213" s="16" t="n">
        <f aca="false">DATEDIF(C213, "12/31/2025", "Y")</f>
        <v>0</v>
      </c>
      <c r="H213" s="17" t="n">
        <f aca="false">_xlfn.IFS( G213&lt;10, 0, G213&lt;20, 0.45, G213&lt;30, 0.65, G213&lt;40, 0.85, G213&gt;=40, 1 )</f>
        <v>0</v>
      </c>
      <c r="I213" s="18" t="n">
        <f aca="false">_xlfn.IFS( G213&lt;10, 1, G213&lt;20, 2, G213&lt;30, 3, G213&lt;40, 4, G213&gt;=40, 5 )</f>
        <v>1</v>
      </c>
    </row>
    <row r="214" customFormat="false" ht="13.5" hidden="false" customHeight="true" outlineLevel="0" collapsed="false">
      <c r="A214" s="11" t="n">
        <f aca="false">+A213+1</f>
        <v>213</v>
      </c>
      <c r="B214" s="20" t="n">
        <v>852899.5</v>
      </c>
      <c r="C214" s="21" t="n">
        <v>45873</v>
      </c>
      <c r="D214" s="22" t="s">
        <v>10</v>
      </c>
      <c r="E214" s="23" t="n">
        <v>32378</v>
      </c>
      <c r="F214" s="16" t="n">
        <f aca="false">DATEDIF(E214, "12/31/2025", "Y")</f>
        <v>37</v>
      </c>
      <c r="G214" s="16" t="n">
        <f aca="false">DATEDIF(C214, "12/31/2025", "Y")</f>
        <v>0</v>
      </c>
      <c r="H214" s="17" t="n">
        <f aca="false">_xlfn.IFS( G214&lt;10, 0, G214&lt;20, 0.45, G214&lt;30, 0.65, G214&lt;40, 0.85, G214&gt;=40, 1 )</f>
        <v>0</v>
      </c>
      <c r="I214" s="18" t="n">
        <f aca="false">_xlfn.IFS( G214&lt;10, 1, G214&lt;20, 2, G214&lt;30, 3, G214&lt;40, 4, G214&gt;=40, 5 )</f>
        <v>1</v>
      </c>
    </row>
    <row r="215" customFormat="false" ht="13.5" hidden="false" customHeight="true" outlineLevel="0" collapsed="false">
      <c r="A215" s="11" t="n">
        <f aca="false">+A214+1</f>
        <v>214</v>
      </c>
      <c r="B215" s="20" t="n">
        <v>486524.85</v>
      </c>
      <c r="C215" s="21" t="n">
        <v>45880</v>
      </c>
      <c r="D215" s="22" t="s">
        <v>9</v>
      </c>
      <c r="E215" s="23" t="n">
        <v>33721</v>
      </c>
      <c r="F215" s="16" t="n">
        <f aca="false">DATEDIF(E215, "12/31/2025", "Y")</f>
        <v>33</v>
      </c>
      <c r="G215" s="16" t="n">
        <f aca="false">DATEDIF(C215, "12/31/2025", "Y")</f>
        <v>0</v>
      </c>
      <c r="H215" s="17" t="n">
        <f aca="false">_xlfn.IFS( G215&lt;10, 0, G215&lt;20, 0.45, G215&lt;30, 0.65, G215&lt;40, 0.85, G215&gt;=40, 1 )</f>
        <v>0</v>
      </c>
      <c r="I215" s="18" t="n">
        <f aca="false">_xlfn.IFS( G215&lt;10, 1, G215&lt;20, 2, G215&lt;30, 3, G215&lt;40, 4, G215&gt;=40, 5 )</f>
        <v>1</v>
      </c>
    </row>
    <row r="216" customFormat="false" ht="13.5" hidden="false" customHeight="true" outlineLevel="0" collapsed="false">
      <c r="A216" s="11" t="n">
        <f aca="false">+A215+1</f>
        <v>215</v>
      </c>
      <c r="B216" s="20" t="n">
        <v>2827234.5</v>
      </c>
      <c r="C216" s="21" t="n">
        <v>45915</v>
      </c>
      <c r="D216" s="22" t="s">
        <v>9</v>
      </c>
      <c r="E216" s="23" t="n">
        <v>36728</v>
      </c>
      <c r="F216" s="16" t="n">
        <f aca="false">DATEDIF(E216, "12/31/2025", "Y")</f>
        <v>25</v>
      </c>
      <c r="G216" s="16" t="n">
        <f aca="false">DATEDIF(C216, "12/31/2025", "Y")</f>
        <v>0</v>
      </c>
      <c r="H216" s="17" t="n">
        <f aca="false">_xlfn.IFS( G216&lt;10, 0, G216&lt;20, 0.45, G216&lt;30, 0.65, G216&lt;40, 0.85, G216&gt;=40, 1 )</f>
        <v>0</v>
      </c>
      <c r="I216" s="18" t="n">
        <f aca="false">_xlfn.IFS( G216&lt;10, 1, G216&lt;20, 2, G216&lt;30, 3, G216&lt;40, 4, G216&gt;=40, 5 )</f>
        <v>1</v>
      </c>
    </row>
    <row r="217" customFormat="false" ht="13.5" hidden="false" customHeight="true" outlineLevel="0" collapsed="false">
      <c r="A217" s="11" t="n">
        <f aca="false">+A216+1</f>
        <v>216</v>
      </c>
      <c r="B217" s="20" t="n">
        <v>779818</v>
      </c>
      <c r="C217" s="21" t="n">
        <v>45908</v>
      </c>
      <c r="D217" s="22" t="s">
        <v>9</v>
      </c>
      <c r="E217" s="23" t="n">
        <v>36933</v>
      </c>
      <c r="F217" s="16" t="n">
        <f aca="false">DATEDIF(E217, "12/31/2025", "Y")</f>
        <v>24</v>
      </c>
      <c r="G217" s="16" t="n">
        <f aca="false">DATEDIF(C217, "12/31/2025", "Y")</f>
        <v>0</v>
      </c>
      <c r="H217" s="17" t="n">
        <f aca="false">_xlfn.IFS( G217&lt;10, 0, G217&lt;20, 0.45, G217&lt;30, 0.65, G217&lt;40, 0.85, G217&gt;=40, 1 )</f>
        <v>0</v>
      </c>
      <c r="I217" s="18" t="n">
        <f aca="false">_xlfn.IFS( G217&lt;10, 1, G217&lt;20, 2, G217&lt;30, 3, G217&lt;40, 4, G217&gt;=40, 5 )</f>
        <v>1</v>
      </c>
    </row>
    <row r="218" customFormat="false" ht="13.5" hidden="false" customHeight="true" outlineLevel="0" collapsed="false">
      <c r="A218" s="11" t="n">
        <f aca="false">+A217+1</f>
        <v>217</v>
      </c>
      <c r="B218" s="20" t="n">
        <v>1833468.8</v>
      </c>
      <c r="C218" s="21" t="n">
        <v>45922</v>
      </c>
      <c r="D218" s="22" t="s">
        <v>9</v>
      </c>
      <c r="E218" s="23" t="n">
        <v>34956</v>
      </c>
      <c r="F218" s="16" t="n">
        <f aca="false">DATEDIF(E218, "12/31/2025", "Y")</f>
        <v>30</v>
      </c>
      <c r="G218" s="16" t="n">
        <f aca="false">DATEDIF(C218, "12/31/2025", "Y")</f>
        <v>0</v>
      </c>
      <c r="H218" s="17" t="n">
        <f aca="false">_xlfn.IFS( G218&lt;10, 0, G218&lt;20, 0.45, G218&lt;30, 0.65, G218&lt;40, 0.85, G218&gt;=40, 1 )</f>
        <v>0</v>
      </c>
      <c r="I218" s="18" t="n">
        <f aca="false">_xlfn.IFS( G218&lt;10, 1, G218&lt;20, 2, G218&lt;30, 3, G218&lt;40, 4, G218&gt;=40, 5 )</f>
        <v>1</v>
      </c>
    </row>
    <row r="219" customFormat="false" ht="13.5" hidden="false" customHeight="true" outlineLevel="0" collapsed="false">
      <c r="A219" s="11" t="n">
        <f aca="false">+A218+1</f>
        <v>218</v>
      </c>
      <c r="B219" s="20" t="n">
        <v>580168</v>
      </c>
      <c r="C219" s="21" t="n">
        <v>45936</v>
      </c>
      <c r="D219" s="22" t="s">
        <v>10</v>
      </c>
      <c r="E219" s="23" t="n">
        <v>36098</v>
      </c>
      <c r="F219" s="16" t="n">
        <f aca="false">DATEDIF(E219, "12/31/2025", "Y")</f>
        <v>27</v>
      </c>
      <c r="G219" s="16" t="n">
        <f aca="false">DATEDIF(C219, "12/31/2025", "Y")</f>
        <v>0</v>
      </c>
      <c r="H219" s="17" t="n">
        <f aca="false">_xlfn.IFS( G219&lt;10, 0, G219&lt;20, 0.45, G219&lt;30, 0.65, G219&lt;40, 0.85, G219&gt;=40, 1 )</f>
        <v>0</v>
      </c>
      <c r="I219" s="18" t="n">
        <f aca="false">_xlfn.IFS( G219&lt;10, 1, G219&lt;20, 2, G219&lt;30, 3, G219&lt;40, 4, G219&gt;=40, 5 )</f>
        <v>1</v>
      </c>
    </row>
    <row r="220" customFormat="false" ht="13.5" hidden="false" customHeight="true" outlineLevel="0" collapsed="false">
      <c r="A220" s="11" t="n">
        <f aca="false">+A219+1</f>
        <v>219</v>
      </c>
      <c r="B220" s="20" t="n">
        <v>2910519.2</v>
      </c>
      <c r="C220" s="21" t="n">
        <v>45978</v>
      </c>
      <c r="D220" s="22" t="s">
        <v>9</v>
      </c>
      <c r="E220" s="23" t="n">
        <v>32453</v>
      </c>
      <c r="F220" s="16" t="n">
        <f aca="false">DATEDIF(E220, "12/31/2025", "Y")</f>
        <v>37</v>
      </c>
      <c r="G220" s="16" t="n">
        <f aca="false">DATEDIF(C220, "12/31/2025", "Y")</f>
        <v>0</v>
      </c>
      <c r="H220" s="17" t="n">
        <f aca="false">_xlfn.IFS( G220&lt;10, 0, G220&lt;20, 0.45, G220&lt;30, 0.65, G220&lt;40, 0.85, G220&gt;=40, 1 )</f>
        <v>0</v>
      </c>
      <c r="I220" s="18" t="n">
        <f aca="false">_xlfn.IFS( G220&lt;10, 1, G220&lt;20, 2, G220&lt;30, 3, G220&lt;40, 4, G220&gt;=40, 5 )</f>
        <v>1</v>
      </c>
    </row>
    <row r="221" customFormat="false" ht="13.5" hidden="false" customHeight="true" outlineLevel="0" collapsed="false">
      <c r="A221" s="11" t="n">
        <f aca="false">+A220+1</f>
        <v>220</v>
      </c>
      <c r="B221" s="20" t="n">
        <v>2129424.2</v>
      </c>
      <c r="C221" s="21" t="n">
        <v>45978</v>
      </c>
      <c r="D221" s="22" t="s">
        <v>9</v>
      </c>
      <c r="E221" s="23" t="n">
        <v>33559</v>
      </c>
      <c r="F221" s="16" t="n">
        <f aca="false">DATEDIF(E221, "12/31/2025", "Y")</f>
        <v>34</v>
      </c>
      <c r="G221" s="16" t="n">
        <f aca="false">DATEDIF(C221, "12/31/2025", "Y")</f>
        <v>0</v>
      </c>
      <c r="H221" s="17" t="n">
        <f aca="false">_xlfn.IFS( G221&lt;10, 0, G221&lt;20, 0.45, G221&lt;30, 0.65, G221&lt;40, 0.85, G221&gt;=40, 1 )</f>
        <v>0</v>
      </c>
      <c r="I221" s="18" t="n">
        <f aca="false">_xlfn.IFS( G221&lt;10, 1, G221&lt;20, 2, G221&lt;30, 3, G221&lt;40, 4, G221&gt;=40, 5 )</f>
        <v>1</v>
      </c>
    </row>
    <row r="222" customFormat="false" ht="13.5" hidden="false" customHeight="true" outlineLevel="0" collapsed="false">
      <c r="A222" s="11" t="n">
        <f aca="false">+A221+1</f>
        <v>221</v>
      </c>
      <c r="B222" s="20" t="n">
        <v>580020</v>
      </c>
      <c r="C222" s="21" t="n">
        <v>45978</v>
      </c>
      <c r="D222" s="22" t="s">
        <v>10</v>
      </c>
      <c r="E222" s="23" t="n">
        <v>36226</v>
      </c>
      <c r="F222" s="16" t="n">
        <f aca="false">DATEDIF(E222, "12/31/2025", "Y")</f>
        <v>26</v>
      </c>
      <c r="G222" s="16" t="n">
        <f aca="false">DATEDIF(C222, "12/31/2025", "Y")</f>
        <v>0</v>
      </c>
      <c r="H222" s="17" t="n">
        <f aca="false">_xlfn.IFS( G222&lt;10, 0, G222&lt;20, 0.45, G222&lt;30, 0.65, G222&lt;40, 0.85, G222&gt;=40, 1 )</f>
        <v>0</v>
      </c>
      <c r="I222" s="18" t="n">
        <f aca="false">_xlfn.IFS( G222&lt;10, 1, G222&lt;20, 2, G222&lt;30, 3, G222&lt;40, 4, G222&gt;=40, 5 )</f>
        <v>1</v>
      </c>
    </row>
    <row r="223" customFormat="false" ht="13.5" hidden="false" customHeight="true" outlineLevel="0" collapsed="false">
      <c r="A223" s="11" t="n">
        <f aca="false">+A222+1</f>
        <v>222</v>
      </c>
      <c r="B223" s="20" t="n">
        <v>1996187.7</v>
      </c>
      <c r="C223" s="21" t="n">
        <v>45978</v>
      </c>
      <c r="D223" s="22" t="s">
        <v>9</v>
      </c>
      <c r="E223" s="23" t="n">
        <v>30099</v>
      </c>
      <c r="F223" s="16" t="n">
        <f aca="false">DATEDIF(E223, "12/31/2025", "Y")</f>
        <v>43</v>
      </c>
      <c r="G223" s="16" t="n">
        <f aca="false">DATEDIF(C223, "12/31/2025", "Y")</f>
        <v>0</v>
      </c>
      <c r="H223" s="17" t="n">
        <f aca="false">_xlfn.IFS( G223&lt;10, 0, G223&lt;20, 0.45, G223&lt;30, 0.65, G223&lt;40, 0.85, G223&gt;=40, 1 )</f>
        <v>0</v>
      </c>
      <c r="I223" s="18" t="n">
        <f aca="false">_xlfn.IFS( G223&lt;10, 1, G223&lt;20, 2, G223&lt;30, 3, G223&lt;40, 4, G223&gt;=40, 5 )</f>
        <v>1</v>
      </c>
    </row>
    <row r="224" customFormat="false" ht="13.5" hidden="false" customHeight="true" outlineLevel="0" collapsed="false">
      <c r="A224" s="11" t="n">
        <f aca="false">+A223+1</f>
        <v>223</v>
      </c>
      <c r="B224" s="20" t="n">
        <v>631873.7</v>
      </c>
      <c r="C224" s="21" t="n">
        <v>45985</v>
      </c>
      <c r="D224" s="22" t="s">
        <v>9</v>
      </c>
      <c r="E224" s="23" t="n">
        <v>29347</v>
      </c>
      <c r="F224" s="16" t="n">
        <f aca="false">DATEDIF(E224, "12/31/2025", "Y")</f>
        <v>45</v>
      </c>
      <c r="G224" s="16" t="n">
        <f aca="false">DATEDIF(C224, "12/31/2025", "Y")</f>
        <v>0</v>
      </c>
      <c r="H224" s="17" t="n">
        <f aca="false">_xlfn.IFS( G224&lt;10, 0, G224&lt;20, 0.45, G224&lt;30, 0.65, G224&lt;40, 0.85, G224&gt;=40, 1 )</f>
        <v>0</v>
      </c>
      <c r="I224" s="18" t="n">
        <f aca="false">_xlfn.IFS( G224&lt;10, 1, G224&lt;20, 2, G224&lt;30, 3, G224&lt;40, 4, G224&gt;=40, 5 )</f>
        <v>1</v>
      </c>
    </row>
    <row r="225" customFormat="false" ht="13.5" hidden="false" customHeight="true" outlineLevel="0" collapsed="false">
      <c r="A225" s="11" t="n">
        <f aca="false">+A224+1</f>
        <v>224</v>
      </c>
      <c r="B225" s="20" t="n">
        <v>593195.91</v>
      </c>
      <c r="C225" s="21" t="n">
        <v>45999</v>
      </c>
      <c r="D225" s="22" t="s">
        <v>9</v>
      </c>
      <c r="E225" s="23" t="n">
        <v>27119</v>
      </c>
      <c r="F225" s="16" t="n">
        <f aca="false">DATEDIF(E225, "12/31/2025", "Y")</f>
        <v>51</v>
      </c>
      <c r="G225" s="16" t="n">
        <f aca="false">DATEDIF(C225, "12/31/2025", "Y")</f>
        <v>0</v>
      </c>
      <c r="H225" s="17" t="n">
        <f aca="false">_xlfn.IFS( G225&lt;10, 0, G225&lt;20, 0.45, G225&lt;30, 0.65, G225&lt;40, 0.85, G225&gt;=40, 1 )</f>
        <v>0</v>
      </c>
      <c r="I225" s="18" t="n">
        <f aca="false">_xlfn.IFS( G225&lt;10, 1, G225&lt;20, 2, G225&lt;30, 3, G225&lt;40, 4, G225&gt;=40, 5 )</f>
        <v>1</v>
      </c>
    </row>
  </sheetData>
  <autoFilter ref="A1:E225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0.16015625" defaultRowHeight="12.8" customHeight="false" zeroHeight="false" outlineLevelRow="0" outlineLevelCol="0"/>
  <sheetData>
    <row r="1" customFormat="false" ht="12.8" hidden="false" customHeight="false" outlineLevel="0" collapsed="false">
      <c r="A1" s="24" t="s">
        <v>11</v>
      </c>
    </row>
    <row r="2" customFormat="false" ht="12.8" hidden="false" customHeight="false" outlineLevel="0" collapsed="false">
      <c r="A2" s="24" t="s">
        <v>12</v>
      </c>
    </row>
    <row r="3" customFormat="false" ht="12.8" hidden="false" customHeight="false" outlineLevel="0" collapsed="false">
      <c r="A3" s="9" t="s">
        <v>5</v>
      </c>
      <c r="B3" s="9" t="s">
        <v>13</v>
      </c>
      <c r="C3" s="9" t="s">
        <v>14</v>
      </c>
      <c r="D3" s="9" t="s">
        <v>15</v>
      </c>
    </row>
    <row r="4" customFormat="false" ht="12.8" hidden="false" customHeight="false" outlineLevel="0" collapsed="false">
      <c r="A4" s="24" t="n">
        <v>0</v>
      </c>
      <c r="B4" s="24" t="n">
        <v>2025</v>
      </c>
      <c r="C4" s="24" t="s">
        <v>16</v>
      </c>
      <c r="D4" s="24" t="s">
        <v>17</v>
      </c>
    </row>
    <row r="5" customFormat="false" ht="12.8" hidden="false" customHeight="false" outlineLevel="0" collapsed="false">
      <c r="A5" s="24" t="n">
        <v>1</v>
      </c>
      <c r="B5" s="24" t="n">
        <v>2026</v>
      </c>
      <c r="C5" s="24" t="s">
        <v>18</v>
      </c>
      <c r="D5" s="24" t="s">
        <v>19</v>
      </c>
    </row>
    <row r="6" customFormat="false" ht="12.8" hidden="false" customHeight="false" outlineLevel="0" collapsed="false">
      <c r="A6" s="24" t="n">
        <v>2</v>
      </c>
      <c r="B6" s="24" t="n">
        <v>2027</v>
      </c>
      <c r="C6" s="24" t="s">
        <v>20</v>
      </c>
      <c r="D6" s="24" t="s">
        <v>21</v>
      </c>
    </row>
    <row r="7" customFormat="false" ht="12.8" hidden="false" customHeight="false" outlineLevel="0" collapsed="false">
      <c r="A7" s="24" t="n">
        <v>3</v>
      </c>
      <c r="B7" s="24" t="n">
        <v>2028</v>
      </c>
      <c r="C7" s="24" t="s">
        <v>22</v>
      </c>
      <c r="D7" s="24" t="s">
        <v>23</v>
      </c>
    </row>
    <row r="8" customFormat="false" ht="12.8" hidden="false" customHeight="false" outlineLevel="0" collapsed="false">
      <c r="A8" s="24" t="n">
        <v>4</v>
      </c>
      <c r="B8" s="24" t="n">
        <v>2029</v>
      </c>
      <c r="C8" s="24" t="s">
        <v>24</v>
      </c>
      <c r="D8" s="24" t="s">
        <v>25</v>
      </c>
    </row>
    <row r="9" customFormat="false" ht="12.8" hidden="false" customHeight="false" outlineLevel="0" collapsed="false">
      <c r="A9" s="24" t="n">
        <v>5</v>
      </c>
      <c r="B9" s="24" t="n">
        <v>2030</v>
      </c>
      <c r="C9" s="24" t="s">
        <v>23</v>
      </c>
      <c r="D9" s="24" t="s">
        <v>26</v>
      </c>
    </row>
    <row r="10" customFormat="false" ht="12.8" hidden="false" customHeight="false" outlineLevel="0" collapsed="false">
      <c r="A10" s="24" t="n">
        <v>6</v>
      </c>
      <c r="B10" s="24" t="n">
        <v>2031</v>
      </c>
      <c r="C10" s="24" t="s">
        <v>27</v>
      </c>
      <c r="D10" s="24" t="s">
        <v>28</v>
      </c>
    </row>
    <row r="11" customFormat="false" ht="12.8" hidden="false" customHeight="false" outlineLevel="0" collapsed="false">
      <c r="A11" s="24" t="n">
        <v>7</v>
      </c>
      <c r="B11" s="24" t="n">
        <v>2032</v>
      </c>
      <c r="C11" s="24" t="s">
        <v>23</v>
      </c>
      <c r="D11" s="24" t="s">
        <v>29</v>
      </c>
    </row>
    <row r="12" customFormat="false" ht="12.8" hidden="false" customHeight="false" outlineLevel="0" collapsed="false">
      <c r="A12" s="24" t="n">
        <v>8</v>
      </c>
      <c r="B12" s="24" t="n">
        <v>2033</v>
      </c>
      <c r="C12" s="24" t="s">
        <v>30</v>
      </c>
      <c r="D12" s="24" t="s">
        <v>31</v>
      </c>
    </row>
    <row r="13" customFormat="false" ht="12.8" hidden="false" customHeight="false" outlineLevel="0" collapsed="false">
      <c r="A13" s="24" t="n">
        <v>9</v>
      </c>
      <c r="B13" s="24" t="n">
        <v>2034</v>
      </c>
      <c r="C13" s="24" t="s">
        <v>32</v>
      </c>
      <c r="D13" s="24" t="s">
        <v>33</v>
      </c>
    </row>
    <row r="14" customFormat="false" ht="12.8" hidden="false" customHeight="false" outlineLevel="0" collapsed="false">
      <c r="A14" s="24" t="n">
        <v>10</v>
      </c>
      <c r="B14" s="24" t="n">
        <v>2035</v>
      </c>
      <c r="C14" s="24" t="s">
        <v>34</v>
      </c>
      <c r="D14" s="24" t="s">
        <v>35</v>
      </c>
    </row>
    <row r="15" customFormat="false" ht="12.8" hidden="false" customHeight="false" outlineLevel="0" collapsed="false">
      <c r="A15" s="24" t="n">
        <v>11</v>
      </c>
      <c r="B15" s="24" t="n">
        <v>2036</v>
      </c>
      <c r="C15" s="24" t="s">
        <v>36</v>
      </c>
      <c r="D15" s="24" t="s">
        <v>37</v>
      </c>
    </row>
    <row r="16" customFormat="false" ht="12.8" hidden="false" customHeight="false" outlineLevel="0" collapsed="false">
      <c r="A16" s="24" t="n">
        <v>12</v>
      </c>
      <c r="B16" s="24" t="n">
        <v>2037</v>
      </c>
      <c r="C16" s="24" t="s">
        <v>38</v>
      </c>
      <c r="D16" s="24" t="s">
        <v>39</v>
      </c>
    </row>
    <row r="17" customFormat="false" ht="12.8" hidden="false" customHeight="false" outlineLevel="0" collapsed="false">
      <c r="A17" s="24" t="n">
        <v>13</v>
      </c>
      <c r="B17" s="24" t="n">
        <v>2038</v>
      </c>
      <c r="C17" s="24" t="s">
        <v>40</v>
      </c>
      <c r="D17" s="24" t="s">
        <v>41</v>
      </c>
    </row>
    <row r="18" customFormat="false" ht="12.8" hidden="false" customHeight="false" outlineLevel="0" collapsed="false">
      <c r="A18" s="24" t="n">
        <v>14</v>
      </c>
      <c r="B18" s="24" t="n">
        <v>2039</v>
      </c>
      <c r="C18" s="24" t="s">
        <v>42</v>
      </c>
      <c r="D18" s="24" t="s">
        <v>43</v>
      </c>
    </row>
    <row r="19" customFormat="false" ht="12.8" hidden="false" customHeight="false" outlineLevel="0" collapsed="false">
      <c r="A19" s="24" t="n">
        <v>15</v>
      </c>
      <c r="B19" s="24" t="n">
        <v>2040</v>
      </c>
      <c r="C19" s="24" t="s">
        <v>44</v>
      </c>
      <c r="D19" s="24" t="s">
        <v>45</v>
      </c>
    </row>
    <row r="20" customFormat="false" ht="12.8" hidden="false" customHeight="false" outlineLevel="0" collapsed="false">
      <c r="A20" s="24" t="n">
        <v>16</v>
      </c>
      <c r="B20" s="24" t="n">
        <v>2041</v>
      </c>
      <c r="C20" s="24" t="s">
        <v>46</v>
      </c>
      <c r="D20" s="24" t="s">
        <v>47</v>
      </c>
    </row>
    <row r="21" customFormat="false" ht="12.8" hidden="false" customHeight="false" outlineLevel="0" collapsed="false">
      <c r="A21" s="24" t="n">
        <v>17</v>
      </c>
      <c r="B21" s="24" t="n">
        <v>2042</v>
      </c>
      <c r="C21" s="24" t="s">
        <v>48</v>
      </c>
      <c r="D21" s="24" t="s">
        <v>49</v>
      </c>
    </row>
    <row r="22" customFormat="false" ht="12.8" hidden="false" customHeight="false" outlineLevel="0" collapsed="false">
      <c r="A22" s="24" t="n">
        <v>18</v>
      </c>
      <c r="B22" s="24" t="n">
        <v>2043</v>
      </c>
      <c r="C22" s="24" t="s">
        <v>50</v>
      </c>
      <c r="D22" s="24" t="s">
        <v>51</v>
      </c>
    </row>
    <row r="23" customFormat="false" ht="12.8" hidden="false" customHeight="false" outlineLevel="0" collapsed="false">
      <c r="A23" s="24" t="n">
        <v>19</v>
      </c>
      <c r="B23" s="24" t="n">
        <v>2044</v>
      </c>
      <c r="C23" s="24" t="s">
        <v>52</v>
      </c>
      <c r="D23" s="24" t="s">
        <v>53</v>
      </c>
    </row>
    <row r="24" customFormat="false" ht="12.8" hidden="false" customHeight="false" outlineLevel="0" collapsed="false">
      <c r="A24" s="24" t="n">
        <v>20</v>
      </c>
      <c r="B24" s="24" t="n">
        <v>2045</v>
      </c>
      <c r="C24" s="24" t="s">
        <v>54</v>
      </c>
      <c r="D24" s="24" t="s">
        <v>55</v>
      </c>
    </row>
    <row r="25" customFormat="false" ht="12.8" hidden="false" customHeight="false" outlineLevel="0" collapsed="false">
      <c r="A25" s="24" t="n">
        <v>21</v>
      </c>
      <c r="B25" s="24" t="n">
        <v>2046</v>
      </c>
      <c r="C25" s="24" t="s">
        <v>56</v>
      </c>
      <c r="D25" s="24" t="s">
        <v>57</v>
      </c>
    </row>
    <row r="26" customFormat="false" ht="12.8" hidden="false" customHeight="false" outlineLevel="0" collapsed="false">
      <c r="A26" s="24" t="n">
        <v>22</v>
      </c>
      <c r="B26" s="24" t="n">
        <v>2047</v>
      </c>
      <c r="C26" s="24" t="s">
        <v>58</v>
      </c>
      <c r="D26" s="24" t="s">
        <v>59</v>
      </c>
    </row>
    <row r="27" customFormat="false" ht="12.8" hidden="false" customHeight="false" outlineLevel="0" collapsed="false">
      <c r="A27" s="24" t="n">
        <v>23</v>
      </c>
      <c r="B27" s="24" t="n">
        <v>2048</v>
      </c>
      <c r="C27" s="24" t="s">
        <v>60</v>
      </c>
      <c r="D27" s="24" t="s">
        <v>61</v>
      </c>
    </row>
    <row r="28" customFormat="false" ht="12.8" hidden="false" customHeight="false" outlineLevel="0" collapsed="false">
      <c r="A28" s="24" t="n">
        <v>24</v>
      </c>
      <c r="B28" s="24" t="n">
        <v>2049</v>
      </c>
      <c r="C28" s="24" t="s">
        <v>62</v>
      </c>
      <c r="D28" s="24" t="s">
        <v>63</v>
      </c>
    </row>
    <row r="29" customFormat="false" ht="12.8" hidden="false" customHeight="false" outlineLevel="0" collapsed="false">
      <c r="A29" s="24" t="n">
        <v>25</v>
      </c>
      <c r="B29" s="24" t="n">
        <v>2050</v>
      </c>
      <c r="C29" s="24" t="s">
        <v>64</v>
      </c>
      <c r="D29" s="24" t="s">
        <v>65</v>
      </c>
    </row>
    <row r="30" customFormat="false" ht="12.8" hidden="false" customHeight="false" outlineLevel="0" collapsed="false">
      <c r="A30" s="24" t="n">
        <v>26</v>
      </c>
      <c r="B30" s="24" t="n">
        <v>2051</v>
      </c>
      <c r="C30" s="24" t="s">
        <v>66</v>
      </c>
      <c r="D30" s="24" t="s">
        <v>67</v>
      </c>
    </row>
    <row r="31" customFormat="false" ht="12.8" hidden="false" customHeight="false" outlineLevel="0" collapsed="false">
      <c r="A31" s="24" t="n">
        <v>27</v>
      </c>
      <c r="B31" s="24" t="n">
        <v>2052</v>
      </c>
      <c r="C31" s="24" t="s">
        <v>68</v>
      </c>
      <c r="D31" s="24" t="s">
        <v>69</v>
      </c>
    </row>
    <row r="32" customFormat="false" ht="12.8" hidden="false" customHeight="false" outlineLevel="0" collapsed="false">
      <c r="A32" s="24" t="n">
        <v>28</v>
      </c>
      <c r="B32" s="24" t="n">
        <v>2053</v>
      </c>
      <c r="C32" s="24" t="s">
        <v>70</v>
      </c>
      <c r="D32" s="24" t="s">
        <v>71</v>
      </c>
    </row>
    <row r="33" customFormat="false" ht="12.8" hidden="false" customHeight="false" outlineLevel="0" collapsed="false">
      <c r="A33" s="24" t="n">
        <v>29</v>
      </c>
      <c r="B33" s="24" t="n">
        <v>2054</v>
      </c>
      <c r="C33" s="24" t="s">
        <v>72</v>
      </c>
      <c r="D33" s="24" t="s">
        <v>73</v>
      </c>
    </row>
    <row r="34" customFormat="false" ht="12.8" hidden="false" customHeight="false" outlineLevel="0" collapsed="false">
      <c r="A34" s="24" t="n">
        <v>30</v>
      </c>
      <c r="B34" s="24" t="n">
        <v>2055</v>
      </c>
      <c r="C34" s="24" t="s">
        <v>74</v>
      </c>
      <c r="D34" s="24" t="s">
        <v>75</v>
      </c>
    </row>
    <row r="35" customFormat="false" ht="12.8" hidden="false" customHeight="false" outlineLevel="0" collapsed="false">
      <c r="A35" s="24" t="n">
        <v>31</v>
      </c>
      <c r="B35" s="24" t="n">
        <v>2056</v>
      </c>
      <c r="C35" s="24" t="s">
        <v>76</v>
      </c>
      <c r="D35" s="24" t="s">
        <v>77</v>
      </c>
    </row>
    <row r="36" customFormat="false" ht="12.8" hidden="false" customHeight="false" outlineLevel="0" collapsed="false">
      <c r="A36" s="24" t="n">
        <v>32</v>
      </c>
      <c r="B36" s="24" t="n">
        <v>2057</v>
      </c>
      <c r="C36" s="24" t="s">
        <v>78</v>
      </c>
      <c r="D36" s="24" t="s">
        <v>79</v>
      </c>
    </row>
    <row r="37" customFormat="false" ht="12.8" hidden="false" customHeight="false" outlineLevel="0" collapsed="false">
      <c r="A37" s="24" t="n">
        <v>33</v>
      </c>
      <c r="B37" s="24" t="n">
        <v>2058</v>
      </c>
      <c r="C37" s="24" t="s">
        <v>80</v>
      </c>
      <c r="D37" s="24" t="s">
        <v>81</v>
      </c>
    </row>
    <row r="38" customFormat="false" ht="12.8" hidden="false" customHeight="false" outlineLevel="0" collapsed="false">
      <c r="A38" s="24" t="n">
        <v>34</v>
      </c>
      <c r="B38" s="24" t="n">
        <v>2059</v>
      </c>
      <c r="C38" s="24" t="s">
        <v>82</v>
      </c>
      <c r="D38" s="24" t="s">
        <v>83</v>
      </c>
    </row>
    <row r="39" customFormat="false" ht="12.8" hidden="false" customHeight="false" outlineLevel="0" collapsed="false">
      <c r="A39" s="24" t="n">
        <v>35</v>
      </c>
      <c r="B39" s="24" t="n">
        <v>2060</v>
      </c>
      <c r="C39" s="24" t="s">
        <v>84</v>
      </c>
      <c r="D39" s="24" t="s">
        <v>85</v>
      </c>
    </row>
    <row r="40" customFormat="false" ht="12.8" hidden="false" customHeight="false" outlineLevel="0" collapsed="false">
      <c r="A40" s="24" t="n">
        <v>36</v>
      </c>
      <c r="B40" s="24" t="n">
        <v>2061</v>
      </c>
      <c r="C40" s="24" t="s">
        <v>86</v>
      </c>
      <c r="D40" s="24" t="s">
        <v>87</v>
      </c>
    </row>
    <row r="41" customFormat="false" ht="12.8" hidden="false" customHeight="false" outlineLevel="0" collapsed="false">
      <c r="A41" s="24" t="n">
        <v>37</v>
      </c>
      <c r="B41" s="24" t="n">
        <v>2062</v>
      </c>
      <c r="C41" s="24" t="s">
        <v>88</v>
      </c>
      <c r="D41" s="24" t="s">
        <v>89</v>
      </c>
    </row>
    <row r="42" customFormat="false" ht="12.8" hidden="false" customHeight="false" outlineLevel="0" collapsed="false">
      <c r="A42" s="24" t="n">
        <v>38</v>
      </c>
      <c r="B42" s="24" t="n">
        <v>2063</v>
      </c>
      <c r="C42" s="24" t="s">
        <v>90</v>
      </c>
      <c r="D42" s="24" t="s">
        <v>91</v>
      </c>
    </row>
    <row r="43" customFormat="false" ht="12.8" hidden="false" customHeight="false" outlineLevel="0" collapsed="false">
      <c r="A43" s="24" t="n">
        <v>39</v>
      </c>
      <c r="B43" s="24" t="n">
        <v>2064</v>
      </c>
      <c r="C43" s="24" t="s">
        <v>92</v>
      </c>
      <c r="D43" s="24" t="s">
        <v>93</v>
      </c>
    </row>
    <row r="44" customFormat="false" ht="12.8" hidden="false" customHeight="false" outlineLevel="0" collapsed="false">
      <c r="A44" s="24" t="n">
        <v>40</v>
      </c>
      <c r="B44" s="24" t="n">
        <v>2065</v>
      </c>
      <c r="C44" s="24" t="s">
        <v>94</v>
      </c>
      <c r="D44" s="24" t="s">
        <v>95</v>
      </c>
    </row>
    <row r="45" customFormat="false" ht="12.8" hidden="false" customHeight="false" outlineLevel="0" collapsed="false">
      <c r="A45" s="24" t="n">
        <v>41</v>
      </c>
      <c r="B45" s="24" t="n">
        <v>2066</v>
      </c>
      <c r="C45" s="24" t="s">
        <v>96</v>
      </c>
      <c r="D45" s="24" t="s">
        <v>97</v>
      </c>
    </row>
    <row r="46" customFormat="false" ht="12.8" hidden="false" customHeight="false" outlineLevel="0" collapsed="false">
      <c r="A46" s="24" t="n">
        <v>42</v>
      </c>
      <c r="B46" s="24" t="n">
        <v>2067</v>
      </c>
      <c r="C46" s="24" t="s">
        <v>98</v>
      </c>
      <c r="D46" s="24" t="s">
        <v>99</v>
      </c>
    </row>
    <row r="47" customFormat="false" ht="12.8" hidden="false" customHeight="false" outlineLevel="0" collapsed="false">
      <c r="A47" s="24" t="n">
        <v>43</v>
      </c>
      <c r="B47" s="24" t="n">
        <v>2068</v>
      </c>
      <c r="C47" s="24" t="s">
        <v>100</v>
      </c>
      <c r="D47" s="24" t="s">
        <v>101</v>
      </c>
    </row>
    <row r="48" customFormat="false" ht="12.8" hidden="false" customHeight="false" outlineLevel="0" collapsed="false">
      <c r="A48" s="24" t="n">
        <v>44</v>
      </c>
      <c r="B48" s="24" t="n">
        <v>2069</v>
      </c>
      <c r="C48" s="24" t="s">
        <v>102</v>
      </c>
      <c r="D48" s="24" t="s">
        <v>103</v>
      </c>
    </row>
    <row r="49" customFormat="false" ht="12.8" hidden="false" customHeight="false" outlineLevel="0" collapsed="false">
      <c r="A49" s="24" t="n">
        <v>45</v>
      </c>
      <c r="B49" s="24" t="n">
        <v>2070</v>
      </c>
      <c r="C49" s="24" t="s">
        <v>104</v>
      </c>
      <c r="D49" s="24" t="s">
        <v>105</v>
      </c>
    </row>
    <row r="50" customFormat="false" ht="12.8" hidden="false" customHeight="false" outlineLevel="0" collapsed="false">
      <c r="A50" s="24" t="n">
        <v>46</v>
      </c>
      <c r="B50" s="24" t="n">
        <v>2071</v>
      </c>
      <c r="C50" s="24" t="s">
        <v>106</v>
      </c>
      <c r="D50" s="24" t="s">
        <v>107</v>
      </c>
    </row>
    <row r="51" customFormat="false" ht="12.8" hidden="false" customHeight="false" outlineLevel="0" collapsed="false">
      <c r="A51" s="24" t="n">
        <v>47</v>
      </c>
      <c r="B51" s="24" t="n">
        <v>2072</v>
      </c>
      <c r="C51" s="24" t="s">
        <v>108</v>
      </c>
      <c r="D51" s="24" t="s">
        <v>109</v>
      </c>
    </row>
    <row r="52" customFormat="false" ht="12.8" hidden="false" customHeight="false" outlineLevel="0" collapsed="false">
      <c r="A52" s="24" t="n">
        <v>48</v>
      </c>
      <c r="B52" s="24" t="n">
        <v>2073</v>
      </c>
      <c r="C52" s="24" t="s">
        <v>110</v>
      </c>
      <c r="D52" s="24" t="s">
        <v>111</v>
      </c>
    </row>
    <row r="53" customFormat="false" ht="12.8" hidden="false" customHeight="false" outlineLevel="0" collapsed="false">
      <c r="A53" s="24" t="n">
        <v>49</v>
      </c>
      <c r="B53" s="24" t="n">
        <v>2074</v>
      </c>
      <c r="C53" s="24" t="s">
        <v>112</v>
      </c>
      <c r="D53" s="24" t="s">
        <v>113</v>
      </c>
    </row>
    <row r="54" customFormat="false" ht="12.8" hidden="false" customHeight="false" outlineLevel="0" collapsed="false">
      <c r="A54" s="24" t="n">
        <v>50</v>
      </c>
      <c r="B54" s="24" t="n">
        <v>2075</v>
      </c>
      <c r="C54" s="24" t="s">
        <v>114</v>
      </c>
      <c r="D54" s="24" t="s">
        <v>115</v>
      </c>
    </row>
    <row r="55" customFormat="false" ht="12.8" hidden="false" customHeight="false" outlineLevel="0" collapsed="false">
      <c r="A55" s="24" t="n">
        <v>51</v>
      </c>
      <c r="B55" s="24" t="n">
        <v>2076</v>
      </c>
      <c r="C55" s="24" t="s">
        <v>116</v>
      </c>
      <c r="D55" s="24" t="s">
        <v>117</v>
      </c>
    </row>
    <row r="56" customFormat="false" ht="12.8" hidden="false" customHeight="false" outlineLevel="0" collapsed="false">
      <c r="A56" s="24" t="n">
        <v>52</v>
      </c>
      <c r="B56" s="24" t="n">
        <v>2077</v>
      </c>
      <c r="C56" s="24" t="s">
        <v>118</v>
      </c>
      <c r="D56" s="24" t="s">
        <v>119</v>
      </c>
    </row>
    <row r="57" customFormat="false" ht="12.8" hidden="false" customHeight="false" outlineLevel="0" collapsed="false">
      <c r="A57" s="24" t="n">
        <v>53</v>
      </c>
      <c r="B57" s="24" t="n">
        <v>2078</v>
      </c>
      <c r="C57" s="24" t="s">
        <v>120</v>
      </c>
      <c r="D57" s="24" t="s">
        <v>121</v>
      </c>
    </row>
    <row r="58" customFormat="false" ht="12.8" hidden="false" customHeight="false" outlineLevel="0" collapsed="false">
      <c r="A58" s="24" t="n">
        <v>54</v>
      </c>
      <c r="B58" s="24" t="n">
        <v>2079</v>
      </c>
      <c r="C58" s="24" t="s">
        <v>122</v>
      </c>
      <c r="D58" s="24" t="s">
        <v>123</v>
      </c>
    </row>
    <row r="59" customFormat="false" ht="12.8" hidden="false" customHeight="false" outlineLevel="0" collapsed="false">
      <c r="A59" s="24" t="n">
        <v>55</v>
      </c>
      <c r="B59" s="24" t="n">
        <v>2080</v>
      </c>
      <c r="C59" s="24" t="s">
        <v>124</v>
      </c>
      <c r="D59" s="24" t="s">
        <v>125</v>
      </c>
    </row>
    <row r="60" customFormat="false" ht="12.8" hidden="false" customHeight="false" outlineLevel="0" collapsed="false">
      <c r="A60" s="24" t="n">
        <v>56</v>
      </c>
      <c r="B60" s="24" t="n">
        <v>2081</v>
      </c>
      <c r="C60" s="24" t="s">
        <v>126</v>
      </c>
      <c r="D60" s="24" t="s">
        <v>127</v>
      </c>
    </row>
    <row r="61" customFormat="false" ht="12.8" hidden="false" customHeight="false" outlineLevel="0" collapsed="false">
      <c r="A61" s="24" t="n">
        <v>57</v>
      </c>
      <c r="B61" s="24" t="n">
        <v>2082</v>
      </c>
      <c r="C61" s="24" t="s">
        <v>128</v>
      </c>
      <c r="D61" s="24" t="s">
        <v>129</v>
      </c>
    </row>
    <row r="62" customFormat="false" ht="12.8" hidden="false" customHeight="false" outlineLevel="0" collapsed="false">
      <c r="A62" s="24" t="n">
        <v>58</v>
      </c>
      <c r="B62" s="24" t="n">
        <v>2083</v>
      </c>
      <c r="C62" s="24" t="s">
        <v>130</v>
      </c>
      <c r="D62" s="24" t="s">
        <v>131</v>
      </c>
    </row>
    <row r="63" customFormat="false" ht="12.8" hidden="false" customHeight="false" outlineLevel="0" collapsed="false">
      <c r="A63" s="24" t="n">
        <v>59</v>
      </c>
      <c r="B63" s="24" t="n">
        <v>2084</v>
      </c>
      <c r="C63" s="24" t="s">
        <v>132</v>
      </c>
      <c r="D63" s="24" t="s">
        <v>133</v>
      </c>
    </row>
    <row r="64" customFormat="false" ht="12.8" hidden="false" customHeight="false" outlineLevel="0" collapsed="false">
      <c r="A64" s="24" t="n">
        <v>60</v>
      </c>
      <c r="B64" s="24" t="n">
        <v>2085</v>
      </c>
      <c r="C64" s="24" t="s">
        <v>134</v>
      </c>
      <c r="D64" s="24" t="s">
        <v>135</v>
      </c>
    </row>
    <row r="65" customFormat="false" ht="12.8" hidden="false" customHeight="false" outlineLevel="0" collapsed="false">
      <c r="A65" s="24" t="n">
        <v>61</v>
      </c>
      <c r="B65" s="24" t="n">
        <v>2086</v>
      </c>
      <c r="C65" s="24" t="s">
        <v>136</v>
      </c>
      <c r="D65" s="24" t="s">
        <v>137</v>
      </c>
    </row>
    <row r="66" customFormat="false" ht="12.8" hidden="false" customHeight="false" outlineLevel="0" collapsed="false">
      <c r="A66" s="24" t="n">
        <v>62</v>
      </c>
      <c r="B66" s="24" t="n">
        <v>2087</v>
      </c>
      <c r="C66" s="24" t="s">
        <v>138</v>
      </c>
      <c r="D66" s="24" t="s">
        <v>139</v>
      </c>
    </row>
    <row r="67" customFormat="false" ht="12.8" hidden="false" customHeight="false" outlineLevel="0" collapsed="false">
      <c r="A67" s="24" t="n">
        <v>63</v>
      </c>
      <c r="B67" s="24" t="n">
        <v>2088</v>
      </c>
      <c r="C67" s="24" t="s">
        <v>140</v>
      </c>
      <c r="D67" s="24" t="s">
        <v>141</v>
      </c>
    </row>
    <row r="68" customFormat="false" ht="12.8" hidden="false" customHeight="false" outlineLevel="0" collapsed="false">
      <c r="A68" s="24" t="n">
        <v>64</v>
      </c>
      <c r="B68" s="24" t="n">
        <v>2089</v>
      </c>
      <c r="C68" s="24" t="s">
        <v>142</v>
      </c>
      <c r="D68" s="24" t="s">
        <v>143</v>
      </c>
    </row>
    <row r="69" customFormat="false" ht="12.8" hidden="false" customHeight="false" outlineLevel="0" collapsed="false">
      <c r="A69" s="24" t="n">
        <v>65</v>
      </c>
      <c r="B69" s="24" t="n">
        <v>2090</v>
      </c>
      <c r="C69" s="24" t="s">
        <v>144</v>
      </c>
      <c r="D69" s="24" t="s">
        <v>145</v>
      </c>
    </row>
    <row r="70" customFormat="false" ht="12.8" hidden="false" customHeight="false" outlineLevel="0" collapsed="false">
      <c r="A70" s="24" t="n">
        <v>66</v>
      </c>
      <c r="B70" s="24" t="n">
        <v>2091</v>
      </c>
      <c r="C70" s="24" t="s">
        <v>146</v>
      </c>
      <c r="D70" s="24" t="s">
        <v>147</v>
      </c>
    </row>
    <row r="71" customFormat="false" ht="12.8" hidden="false" customHeight="false" outlineLevel="0" collapsed="false">
      <c r="A71" s="24" t="n">
        <v>67</v>
      </c>
      <c r="B71" s="24" t="n">
        <v>2092</v>
      </c>
      <c r="C71" s="24" t="s">
        <v>148</v>
      </c>
      <c r="D71" s="24" t="s">
        <v>149</v>
      </c>
    </row>
    <row r="72" customFormat="false" ht="12.8" hidden="false" customHeight="false" outlineLevel="0" collapsed="false">
      <c r="A72" s="24" t="n">
        <v>68</v>
      </c>
      <c r="B72" s="24" t="n">
        <v>2093</v>
      </c>
      <c r="C72" s="24" t="s">
        <v>150</v>
      </c>
      <c r="D72" s="24" t="s">
        <v>151</v>
      </c>
    </row>
    <row r="73" customFormat="false" ht="12.8" hidden="false" customHeight="false" outlineLevel="0" collapsed="false">
      <c r="A73" s="24" t="n">
        <v>69</v>
      </c>
      <c r="B73" s="24" t="n">
        <v>2094</v>
      </c>
      <c r="C73" s="24" t="s">
        <v>152</v>
      </c>
      <c r="D73" s="24" t="s">
        <v>153</v>
      </c>
    </row>
    <row r="74" customFormat="false" ht="12.8" hidden="false" customHeight="false" outlineLevel="0" collapsed="false">
      <c r="A74" s="24" t="n">
        <v>70</v>
      </c>
      <c r="B74" s="24" t="n">
        <v>2095</v>
      </c>
      <c r="C74" s="24" t="s">
        <v>154</v>
      </c>
      <c r="D74" s="24" t="s">
        <v>155</v>
      </c>
    </row>
    <row r="75" customFormat="false" ht="12.8" hidden="false" customHeight="false" outlineLevel="0" collapsed="false">
      <c r="A75" s="24" t="n">
        <v>71</v>
      </c>
      <c r="B75" s="24" t="n">
        <v>2096</v>
      </c>
      <c r="C75" s="24" t="s">
        <v>156</v>
      </c>
      <c r="D75" s="24" t="s">
        <v>157</v>
      </c>
    </row>
    <row r="76" customFormat="false" ht="12.8" hidden="false" customHeight="false" outlineLevel="0" collapsed="false">
      <c r="A76" s="24" t="n">
        <v>72</v>
      </c>
      <c r="B76" s="24" t="n">
        <v>2097</v>
      </c>
      <c r="C76" s="24" t="s">
        <v>158</v>
      </c>
      <c r="D76" s="24" t="s">
        <v>159</v>
      </c>
    </row>
    <row r="77" customFormat="false" ht="12.8" hidden="false" customHeight="false" outlineLevel="0" collapsed="false">
      <c r="A77" s="24" t="n">
        <v>73</v>
      </c>
      <c r="B77" s="24" t="n">
        <v>2098</v>
      </c>
      <c r="C77" s="24" t="s">
        <v>160</v>
      </c>
      <c r="D77" s="24" t="s">
        <v>161</v>
      </c>
    </row>
    <row r="78" customFormat="false" ht="12.8" hidden="false" customHeight="false" outlineLevel="0" collapsed="false">
      <c r="A78" s="24" t="n">
        <v>74</v>
      </c>
      <c r="B78" s="24" t="n">
        <v>2099</v>
      </c>
      <c r="C78" s="24" t="s">
        <v>162</v>
      </c>
      <c r="D78" s="24" t="s">
        <v>163</v>
      </c>
    </row>
    <row r="79" customFormat="false" ht="12.8" hidden="false" customHeight="false" outlineLevel="0" collapsed="false">
      <c r="A79" s="24" t="n">
        <v>75</v>
      </c>
      <c r="B79" s="24" t="n">
        <v>2100</v>
      </c>
      <c r="C79" s="24" t="s">
        <v>164</v>
      </c>
      <c r="D79" s="24" t="s">
        <v>165</v>
      </c>
    </row>
    <row r="80" customFormat="false" ht="12.8" hidden="false" customHeight="false" outlineLevel="0" collapsed="false">
      <c r="A80" s="24" t="n">
        <v>76</v>
      </c>
      <c r="B80" s="24" t="n">
        <v>2101</v>
      </c>
      <c r="C80" s="24" t="s">
        <v>166</v>
      </c>
      <c r="D80" s="24" t="s">
        <v>167</v>
      </c>
    </row>
    <row r="81" customFormat="false" ht="12.8" hidden="false" customHeight="false" outlineLevel="0" collapsed="false">
      <c r="A81" s="24" t="n">
        <v>77</v>
      </c>
      <c r="B81" s="24" t="n">
        <v>2102</v>
      </c>
      <c r="C81" s="24" t="s">
        <v>168</v>
      </c>
      <c r="D81" s="24" t="s">
        <v>169</v>
      </c>
    </row>
    <row r="82" customFormat="false" ht="12.8" hidden="false" customHeight="false" outlineLevel="0" collapsed="false">
      <c r="A82" s="24" t="n">
        <v>78</v>
      </c>
      <c r="B82" s="24" t="n">
        <v>2103</v>
      </c>
      <c r="C82" s="24" t="s">
        <v>170</v>
      </c>
      <c r="D82" s="24" t="s">
        <v>171</v>
      </c>
    </row>
    <row r="83" customFormat="false" ht="12.8" hidden="false" customHeight="false" outlineLevel="0" collapsed="false">
      <c r="A83" s="24" t="n">
        <v>79</v>
      </c>
      <c r="B83" s="24" t="n">
        <v>2104</v>
      </c>
      <c r="C83" s="24" t="s">
        <v>172</v>
      </c>
      <c r="D83" s="24" t="s">
        <v>173</v>
      </c>
    </row>
    <row r="84" customFormat="false" ht="12.8" hidden="false" customHeight="false" outlineLevel="0" collapsed="false">
      <c r="A84" s="24" t="n">
        <v>80</v>
      </c>
      <c r="B84" s="24" t="n">
        <v>2105</v>
      </c>
      <c r="C84" s="24" t="s">
        <v>174</v>
      </c>
      <c r="D84" s="24" t="s">
        <v>175</v>
      </c>
    </row>
    <row r="85" customFormat="false" ht="12.8" hidden="false" customHeight="false" outlineLevel="0" collapsed="false">
      <c r="A85" s="24" t="n">
        <v>81</v>
      </c>
      <c r="B85" s="24" t="n">
        <v>2106</v>
      </c>
      <c r="C85" s="24" t="s">
        <v>176</v>
      </c>
      <c r="D85" s="24" t="s">
        <v>177</v>
      </c>
    </row>
    <row r="86" customFormat="false" ht="12.8" hidden="false" customHeight="false" outlineLevel="0" collapsed="false">
      <c r="A86" s="24" t="n">
        <v>82</v>
      </c>
      <c r="B86" s="24" t="n">
        <v>2107</v>
      </c>
      <c r="C86" s="24" t="s">
        <v>178</v>
      </c>
      <c r="D86" s="24" t="s">
        <v>179</v>
      </c>
    </row>
    <row r="87" customFormat="false" ht="12.8" hidden="false" customHeight="false" outlineLevel="0" collapsed="false">
      <c r="A87" s="24" t="n">
        <v>83</v>
      </c>
      <c r="B87" s="24" t="n">
        <v>2108</v>
      </c>
      <c r="C87" s="24" t="s">
        <v>180</v>
      </c>
      <c r="D87" s="24" t="s">
        <v>181</v>
      </c>
    </row>
    <row r="88" customFormat="false" ht="12.8" hidden="false" customHeight="false" outlineLevel="0" collapsed="false">
      <c r="A88" s="24" t="n">
        <v>84</v>
      </c>
      <c r="B88" s="24" t="n">
        <v>2109</v>
      </c>
      <c r="C88" s="24" t="s">
        <v>182</v>
      </c>
      <c r="D88" s="24" t="s">
        <v>183</v>
      </c>
    </row>
    <row r="89" customFormat="false" ht="12.8" hidden="false" customHeight="false" outlineLevel="0" collapsed="false">
      <c r="A89" s="24" t="n">
        <v>85</v>
      </c>
      <c r="B89" s="24" t="n">
        <v>2110</v>
      </c>
      <c r="C89" s="24" t="s">
        <v>184</v>
      </c>
      <c r="D89" s="24" t="s">
        <v>185</v>
      </c>
    </row>
    <row r="90" customFormat="false" ht="12.8" hidden="false" customHeight="false" outlineLevel="0" collapsed="false">
      <c r="A90" s="24" t="n">
        <v>86</v>
      </c>
      <c r="B90" s="24" t="n">
        <v>2111</v>
      </c>
      <c r="C90" s="24" t="s">
        <v>186</v>
      </c>
      <c r="D90" s="24" t="s">
        <v>187</v>
      </c>
    </row>
    <row r="91" customFormat="false" ht="12.8" hidden="false" customHeight="false" outlineLevel="0" collapsed="false">
      <c r="A91" s="24" t="n">
        <v>87</v>
      </c>
      <c r="B91" s="24" t="n">
        <v>2112</v>
      </c>
      <c r="C91" s="24" t="s">
        <v>188</v>
      </c>
      <c r="D91" s="24" t="s">
        <v>189</v>
      </c>
    </row>
    <row r="92" customFormat="false" ht="12.8" hidden="false" customHeight="false" outlineLevel="0" collapsed="false">
      <c r="A92" s="24" t="n">
        <v>88</v>
      </c>
      <c r="B92" s="24" t="n">
        <v>2113</v>
      </c>
      <c r="C92" s="24" t="s">
        <v>190</v>
      </c>
      <c r="D92" s="24" t="s">
        <v>191</v>
      </c>
    </row>
    <row r="93" customFormat="false" ht="12.8" hidden="false" customHeight="false" outlineLevel="0" collapsed="false">
      <c r="A93" s="24" t="n">
        <v>89</v>
      </c>
      <c r="B93" s="24" t="n">
        <v>2114</v>
      </c>
      <c r="C93" s="24" t="s">
        <v>192</v>
      </c>
      <c r="D93" s="24" t="s">
        <v>193</v>
      </c>
    </row>
    <row r="94" customFormat="false" ht="12.8" hidden="false" customHeight="false" outlineLevel="0" collapsed="false">
      <c r="A94" s="24" t="n">
        <v>90</v>
      </c>
      <c r="B94" s="24" t="n">
        <v>2115</v>
      </c>
      <c r="C94" s="24" t="s">
        <v>194</v>
      </c>
      <c r="D94" s="24" t="s">
        <v>195</v>
      </c>
    </row>
    <row r="95" customFormat="false" ht="12.8" hidden="false" customHeight="false" outlineLevel="0" collapsed="false">
      <c r="A95" s="24" t="n">
        <v>91</v>
      </c>
      <c r="B95" s="24" t="n">
        <v>2116</v>
      </c>
      <c r="C95" s="24" t="s">
        <v>196</v>
      </c>
      <c r="D95" s="24" t="s">
        <v>197</v>
      </c>
    </row>
    <row r="96" customFormat="false" ht="12.8" hidden="false" customHeight="false" outlineLevel="0" collapsed="false">
      <c r="A96" s="24" t="n">
        <v>92</v>
      </c>
      <c r="B96" s="24" t="n">
        <v>2117</v>
      </c>
      <c r="C96" s="24" t="s">
        <v>198</v>
      </c>
      <c r="D96" s="24" t="s">
        <v>199</v>
      </c>
    </row>
    <row r="97" customFormat="false" ht="12.8" hidden="false" customHeight="false" outlineLevel="0" collapsed="false">
      <c r="A97" s="24" t="n">
        <v>93</v>
      </c>
      <c r="B97" s="24" t="n">
        <v>2118</v>
      </c>
      <c r="C97" s="24" t="s">
        <v>200</v>
      </c>
      <c r="D97" s="24" t="s">
        <v>201</v>
      </c>
    </row>
    <row r="98" customFormat="false" ht="12.8" hidden="false" customHeight="false" outlineLevel="0" collapsed="false">
      <c r="A98" s="24" t="n">
        <v>94</v>
      </c>
      <c r="B98" s="24" t="n">
        <v>2119</v>
      </c>
      <c r="C98" s="24" t="s">
        <v>202</v>
      </c>
      <c r="D98" s="24" t="s">
        <v>203</v>
      </c>
    </row>
    <row r="99" customFormat="false" ht="12.8" hidden="false" customHeight="false" outlineLevel="0" collapsed="false">
      <c r="A99" s="24" t="n">
        <v>95</v>
      </c>
      <c r="B99" s="24" t="n">
        <v>2120</v>
      </c>
      <c r="C99" s="24" t="s">
        <v>204</v>
      </c>
      <c r="D99" s="24" t="s">
        <v>205</v>
      </c>
    </row>
    <row r="100" customFormat="false" ht="12.8" hidden="false" customHeight="false" outlineLevel="0" collapsed="false">
      <c r="A100" s="24" t="n">
        <v>96</v>
      </c>
      <c r="B100" s="24" t="n">
        <v>2121</v>
      </c>
      <c r="C100" s="24" t="s">
        <v>206</v>
      </c>
      <c r="D100" s="24" t="s">
        <v>207</v>
      </c>
    </row>
    <row r="101" customFormat="false" ht="12.8" hidden="false" customHeight="false" outlineLevel="0" collapsed="false">
      <c r="A101" s="24" t="n">
        <v>97</v>
      </c>
      <c r="B101" s="24" t="n">
        <v>2122</v>
      </c>
      <c r="C101" s="24" t="s">
        <v>208</v>
      </c>
      <c r="D101" s="24" t="s">
        <v>209</v>
      </c>
    </row>
    <row r="102" customFormat="false" ht="12.8" hidden="false" customHeight="false" outlineLevel="0" collapsed="false">
      <c r="A102" s="24" t="n">
        <v>98</v>
      </c>
      <c r="B102" s="24" t="n">
        <v>2123</v>
      </c>
      <c r="C102" s="24" t="s">
        <v>210</v>
      </c>
      <c r="D102" s="24" t="s">
        <v>211</v>
      </c>
    </row>
    <row r="103" customFormat="false" ht="12.8" hidden="false" customHeight="false" outlineLevel="0" collapsed="false">
      <c r="A103" s="24" t="n">
        <v>99</v>
      </c>
      <c r="B103" s="24" t="n">
        <v>2124</v>
      </c>
      <c r="C103" s="24" t="s">
        <v>212</v>
      </c>
      <c r="D103" s="24" t="s">
        <v>213</v>
      </c>
    </row>
    <row r="104" customFormat="false" ht="12.8" hidden="false" customHeight="false" outlineLevel="0" collapsed="false">
      <c r="A104" s="24" t="n">
        <v>100</v>
      </c>
      <c r="B104" s="24" t="n">
        <v>2125</v>
      </c>
      <c r="C104" s="24" t="s">
        <v>214</v>
      </c>
      <c r="D104" s="24" t="s">
        <v>215</v>
      </c>
    </row>
    <row r="105" customFormat="false" ht="12.8" hidden="false" customHeight="false" outlineLevel="0" collapsed="false">
      <c r="A105" s="24" t="n">
        <v>101</v>
      </c>
      <c r="B105" s="24" t="n">
        <v>2126</v>
      </c>
      <c r="C105" s="24" t="s">
        <v>216</v>
      </c>
      <c r="D105" s="24" t="s">
        <v>217</v>
      </c>
    </row>
    <row r="106" customFormat="false" ht="12.8" hidden="false" customHeight="false" outlineLevel="0" collapsed="false">
      <c r="A106" s="24" t="n">
        <v>102</v>
      </c>
      <c r="B106" s="24" t="n">
        <v>2127</v>
      </c>
      <c r="C106" s="24" t="s">
        <v>218</v>
      </c>
      <c r="D106" s="24" t="s">
        <v>219</v>
      </c>
    </row>
    <row r="107" customFormat="false" ht="12.8" hidden="false" customHeight="false" outlineLevel="0" collapsed="false">
      <c r="A107" s="24" t="n">
        <v>103</v>
      </c>
      <c r="B107" s="24" t="n">
        <v>2128</v>
      </c>
      <c r="C107" s="24" t="s">
        <v>220</v>
      </c>
      <c r="D107" s="24" t="s">
        <v>221</v>
      </c>
    </row>
    <row r="108" customFormat="false" ht="12.8" hidden="false" customHeight="false" outlineLevel="0" collapsed="false">
      <c r="A108" s="24" t="n">
        <v>104</v>
      </c>
      <c r="B108" s="24" t="n">
        <v>2129</v>
      </c>
      <c r="C108" s="24" t="s">
        <v>222</v>
      </c>
      <c r="D108" s="24" t="s">
        <v>223</v>
      </c>
    </row>
    <row r="109" customFormat="false" ht="12.8" hidden="false" customHeight="false" outlineLevel="0" collapsed="false">
      <c r="A109" s="24" t="n">
        <v>105</v>
      </c>
      <c r="B109" s="24" t="n">
        <v>2130</v>
      </c>
      <c r="C109" s="24" t="s">
        <v>224</v>
      </c>
      <c r="D109" s="24" t="s">
        <v>225</v>
      </c>
    </row>
    <row r="110" customFormat="false" ht="12.8" hidden="false" customHeight="false" outlineLevel="0" collapsed="false">
      <c r="A110" s="24" t="n">
        <v>106</v>
      </c>
      <c r="B110" s="24" t="n">
        <v>2131</v>
      </c>
      <c r="C110" s="24" t="s">
        <v>226</v>
      </c>
      <c r="D110" s="24" t="s">
        <v>227</v>
      </c>
    </row>
    <row r="111" customFormat="false" ht="12.8" hidden="false" customHeight="false" outlineLevel="0" collapsed="false">
      <c r="A111" s="24" t="n">
        <v>107</v>
      </c>
      <c r="B111" s="24" t="n">
        <v>2132</v>
      </c>
      <c r="C111" s="24" t="s">
        <v>228</v>
      </c>
      <c r="D111" s="24" t="s">
        <v>229</v>
      </c>
    </row>
    <row r="112" customFormat="false" ht="12.8" hidden="false" customHeight="false" outlineLevel="0" collapsed="false">
      <c r="A112" s="24" t="n">
        <v>108</v>
      </c>
      <c r="B112" s="24" t="n">
        <v>2133</v>
      </c>
      <c r="C112" s="24" t="s">
        <v>230</v>
      </c>
      <c r="D112" s="24" t="s">
        <v>231</v>
      </c>
    </row>
    <row r="113" customFormat="false" ht="12.8" hidden="false" customHeight="false" outlineLevel="0" collapsed="false">
      <c r="A113" s="24" t="n">
        <v>109</v>
      </c>
      <c r="B113" s="24" t="n">
        <v>2134</v>
      </c>
      <c r="C113" s="24" t="s">
        <v>232</v>
      </c>
      <c r="D113" s="24" t="s">
        <v>233</v>
      </c>
    </row>
    <row r="114" customFormat="false" ht="12.8" hidden="false" customHeight="false" outlineLevel="0" collapsed="false">
      <c r="A114" s="24" t="n">
        <v>110</v>
      </c>
      <c r="B114" s="24" t="n">
        <v>2135</v>
      </c>
      <c r="C114" s="24" t="s">
        <v>234</v>
      </c>
      <c r="D114" s="24" t="s">
        <v>235</v>
      </c>
    </row>
    <row r="115" customFormat="false" ht="12.8" hidden="false" customHeight="false" outlineLevel="0" collapsed="false">
      <c r="A115" s="24" t="n">
        <v>111</v>
      </c>
      <c r="B115" s="24" t="n">
        <v>2136</v>
      </c>
      <c r="C115" s="24" t="s">
        <v>236</v>
      </c>
      <c r="D115" s="24" t="s">
        <v>237</v>
      </c>
    </row>
    <row r="116" customFormat="false" ht="12.8" hidden="false" customHeight="false" outlineLevel="0" collapsed="false">
      <c r="A116" s="24" t="n">
        <v>112</v>
      </c>
      <c r="B116" s="24" t="n">
        <v>2137</v>
      </c>
      <c r="C116" s="24" t="s">
        <v>238</v>
      </c>
      <c r="D116" s="24" t="s">
        <v>239</v>
      </c>
    </row>
    <row r="117" customFormat="false" ht="12.8" hidden="false" customHeight="false" outlineLevel="0" collapsed="false">
      <c r="A117" s="24" t="n">
        <v>113</v>
      </c>
      <c r="B117" s="24" t="n">
        <v>2138</v>
      </c>
      <c r="C117" s="24" t="s">
        <v>240</v>
      </c>
      <c r="D117" s="24" t="s">
        <v>241</v>
      </c>
    </row>
    <row r="118" customFormat="false" ht="12.8" hidden="false" customHeight="false" outlineLevel="0" collapsed="false">
      <c r="A118" s="24" t="n">
        <v>114</v>
      </c>
      <c r="B118" s="24" t="n">
        <v>2139</v>
      </c>
      <c r="C118" s="24" t="s">
        <v>242</v>
      </c>
      <c r="D118" s="24" t="s">
        <v>243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6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I15" activeCellId="0" sqref="I15"/>
    </sheetView>
  </sheetViews>
  <sheetFormatPr defaultColWidth="8.4765625" defaultRowHeight="14.25" customHeight="false" zeroHeight="false" outlineLevelRow="0" outlineLevelCol="0"/>
  <cols>
    <col collapsed="false" customWidth="true" hidden="false" outlineLevel="0" max="1" min="1" style="11" width="8.73"/>
    <col collapsed="false" customWidth="true" hidden="false" outlineLevel="0" max="2" min="2" style="0" width="8.27"/>
    <col collapsed="false" customWidth="true" hidden="false" outlineLevel="0" max="3" min="3" style="0" width="18.09"/>
    <col collapsed="false" customWidth="true" hidden="false" outlineLevel="0" max="4" min="4" style="1" width="18.18"/>
  </cols>
  <sheetData>
    <row r="1" customFormat="false" ht="14.25" hidden="false" customHeight="false" outlineLevel="0" collapsed="false">
      <c r="A1" s="5" t="s">
        <v>0</v>
      </c>
      <c r="B1" s="6" t="s">
        <v>3</v>
      </c>
      <c r="C1" s="25" t="s">
        <v>4</v>
      </c>
      <c r="D1" s="8" t="s">
        <v>244</v>
      </c>
      <c r="E1" s="8" t="s">
        <v>5</v>
      </c>
    </row>
    <row r="2" customFormat="false" ht="14.25" hidden="false" customHeight="false" outlineLevel="0" collapsed="false">
      <c r="A2" s="11" t="n">
        <v>1</v>
      </c>
      <c r="B2" s="12" t="s">
        <v>10</v>
      </c>
      <c r="C2" s="26" t="n">
        <v>16157</v>
      </c>
      <c r="D2" s="14" t="n">
        <v>139691.9</v>
      </c>
      <c r="E2" s="27" t="n">
        <f aca="false">DATEDIF(C2, "12/31/2025", "Y")</f>
        <v>81</v>
      </c>
    </row>
    <row r="3" customFormat="false" ht="14.25" hidden="false" customHeight="false" outlineLevel="0" collapsed="false">
      <c r="A3" s="11" t="n">
        <v>2</v>
      </c>
      <c r="B3" s="12" t="s">
        <v>9</v>
      </c>
      <c r="C3" s="26" t="n">
        <v>17629</v>
      </c>
      <c r="D3" s="14" t="n">
        <v>134408.05</v>
      </c>
      <c r="E3" s="27" t="n">
        <f aca="false">DATEDIF(C3, "12/31/2025", "Y")</f>
        <v>77</v>
      </c>
    </row>
    <row r="4" customFormat="false" ht="14.25" hidden="false" customHeight="false" outlineLevel="0" collapsed="false">
      <c r="A4" s="11" t="n">
        <v>3</v>
      </c>
      <c r="B4" s="12" t="s">
        <v>10</v>
      </c>
      <c r="C4" s="26" t="n">
        <v>11997</v>
      </c>
      <c r="D4" s="14" t="n">
        <v>324120</v>
      </c>
      <c r="E4" s="27" t="n">
        <f aca="false">DATEDIF(C4, "12/31/2025", "Y")</f>
        <v>93</v>
      </c>
    </row>
    <row r="5" customFormat="false" ht="14.25" hidden="false" customHeight="false" outlineLevel="0" collapsed="false">
      <c r="A5" s="11" t="n">
        <v>4</v>
      </c>
      <c r="B5" s="12" t="s">
        <v>9</v>
      </c>
      <c r="C5" s="26" t="n">
        <v>19001</v>
      </c>
      <c r="D5" s="14" t="n">
        <v>324120</v>
      </c>
      <c r="E5" s="27" t="n">
        <f aca="false">DATEDIF(C5, "12/31/2025", "Y")</f>
        <v>73</v>
      </c>
    </row>
    <row r="6" customFormat="false" ht="14.25" hidden="false" customHeight="false" outlineLevel="0" collapsed="false">
      <c r="A6" s="11" t="n">
        <v>5</v>
      </c>
      <c r="B6" s="12" t="s">
        <v>9</v>
      </c>
      <c r="C6" s="26" t="n">
        <v>17016</v>
      </c>
      <c r="D6" s="14" t="n">
        <v>29244.35</v>
      </c>
      <c r="E6" s="27" t="n">
        <f aca="false">DATEDIF(C6, "12/31/2025", "Y")</f>
        <v>79</v>
      </c>
    </row>
    <row r="7" customFormat="false" ht="14.25" hidden="false" customHeight="false" outlineLevel="0" collapsed="false">
      <c r="A7" s="11" t="n">
        <v>6</v>
      </c>
      <c r="B7" s="12" t="s">
        <v>10</v>
      </c>
      <c r="C7" s="26" t="n">
        <v>10524</v>
      </c>
      <c r="D7" s="14" t="n">
        <v>164681.25</v>
      </c>
      <c r="E7" s="27" t="n">
        <f aca="false">DATEDIF(C7, "12/31/2025", "Y")</f>
        <v>97</v>
      </c>
    </row>
    <row r="8" customFormat="false" ht="14.25" hidden="false" customHeight="false" outlineLevel="0" collapsed="false">
      <c r="A8" s="11" t="n">
        <v>7</v>
      </c>
      <c r="B8" s="12" t="s">
        <v>9</v>
      </c>
      <c r="C8" s="26" t="n">
        <v>13169</v>
      </c>
      <c r="D8" s="14" t="n">
        <v>150512.75</v>
      </c>
      <c r="E8" s="27" t="n">
        <f aca="false">DATEDIF(C8, "12/31/2025", "Y")</f>
        <v>89</v>
      </c>
    </row>
    <row r="9" customFormat="false" ht="14.25" hidden="false" customHeight="false" outlineLevel="0" collapsed="false">
      <c r="A9" s="11" t="n">
        <v>8</v>
      </c>
      <c r="B9" s="12" t="s">
        <v>9</v>
      </c>
      <c r="C9" s="26" t="n">
        <v>18976</v>
      </c>
      <c r="D9" s="14" t="n">
        <v>324120</v>
      </c>
      <c r="E9" s="27" t="n">
        <f aca="false">DATEDIF(C9, "12/31/2025", "Y")</f>
        <v>74</v>
      </c>
    </row>
    <row r="10" customFormat="false" ht="14.25" hidden="false" customHeight="false" outlineLevel="0" collapsed="false">
      <c r="A10" s="11" t="n">
        <v>9</v>
      </c>
      <c r="B10" s="12" t="s">
        <v>9</v>
      </c>
      <c r="C10" s="26" t="n">
        <v>17033</v>
      </c>
      <c r="D10" s="14" t="n">
        <v>251739.85</v>
      </c>
      <c r="E10" s="27" t="n">
        <f aca="false">DATEDIF(C10, "12/31/2025", "Y")</f>
        <v>79</v>
      </c>
    </row>
    <row r="11" customFormat="false" ht="14.25" hidden="false" customHeight="false" outlineLevel="0" collapsed="false">
      <c r="A11" s="11" t="n">
        <v>10</v>
      </c>
      <c r="B11" s="12" t="s">
        <v>10</v>
      </c>
      <c r="C11" s="26" t="n">
        <v>17968</v>
      </c>
      <c r="D11" s="14" t="n">
        <v>324120</v>
      </c>
      <c r="E11" s="27" t="n">
        <f aca="false">DATEDIF(C11, "12/31/2025", "Y")</f>
        <v>76</v>
      </c>
    </row>
    <row r="12" customFormat="false" ht="14.25" hidden="false" customHeight="false" outlineLevel="0" collapsed="false">
      <c r="A12" s="11" t="n">
        <v>11</v>
      </c>
      <c r="B12" s="12" t="s">
        <v>9</v>
      </c>
      <c r="C12" s="26" t="n">
        <v>17777</v>
      </c>
      <c r="D12" s="14" t="n">
        <v>126457.45</v>
      </c>
      <c r="E12" s="27" t="n">
        <f aca="false">DATEDIF(C12, "12/31/2025", "Y")</f>
        <v>77</v>
      </c>
    </row>
    <row r="13" customFormat="false" ht="14.25" hidden="false" customHeight="false" outlineLevel="0" collapsed="false">
      <c r="A13" s="11" t="n">
        <v>12</v>
      </c>
      <c r="B13" s="12" t="s">
        <v>9</v>
      </c>
      <c r="C13" s="26" t="n">
        <v>12619</v>
      </c>
      <c r="D13" s="14" t="n">
        <v>178343.55</v>
      </c>
      <c r="E13" s="27" t="n">
        <f aca="false">DATEDIF(C13, "12/31/2025", "Y")</f>
        <v>91</v>
      </c>
    </row>
    <row r="14" customFormat="false" ht="14.25" hidden="false" customHeight="false" outlineLevel="0" collapsed="false">
      <c r="A14" s="11" t="n">
        <v>13</v>
      </c>
      <c r="B14" s="12" t="s">
        <v>10</v>
      </c>
      <c r="C14" s="26" t="n">
        <v>17418</v>
      </c>
      <c r="D14" s="14" t="n">
        <v>153258.8</v>
      </c>
      <c r="E14" s="27" t="n">
        <f aca="false">DATEDIF(C14, "12/31/2025", "Y")</f>
        <v>78</v>
      </c>
    </row>
    <row r="15" customFormat="false" ht="14.25" hidden="false" customHeight="false" outlineLevel="0" collapsed="false">
      <c r="A15" s="11" t="n">
        <v>14</v>
      </c>
      <c r="B15" s="12" t="s">
        <v>9</v>
      </c>
      <c r="C15" s="26" t="n">
        <v>20093</v>
      </c>
      <c r="D15" s="14" t="n">
        <v>324120</v>
      </c>
      <c r="E15" s="27" t="n">
        <f aca="false">DATEDIF(C15, "12/31/2025", "Y")</f>
        <v>70</v>
      </c>
    </row>
    <row r="16" customFormat="false" ht="14.25" hidden="false" customHeight="false" outlineLevel="0" collapsed="false">
      <c r="A16" s="11" t="n">
        <v>15</v>
      </c>
      <c r="B16" s="12" t="s">
        <v>10</v>
      </c>
      <c r="C16" s="26" t="n">
        <v>18272</v>
      </c>
      <c r="D16" s="14" t="n">
        <v>88327.75</v>
      </c>
      <c r="E16" s="27" t="n">
        <f aca="false">DATEDIF(C16, "12/31/2025", "Y")</f>
        <v>75</v>
      </c>
    </row>
    <row r="17" customFormat="false" ht="14.25" hidden="false" customHeight="false" outlineLevel="0" collapsed="false">
      <c r="A17" s="11" t="n">
        <v>16</v>
      </c>
      <c r="B17" s="12" t="s">
        <v>9</v>
      </c>
      <c r="C17" s="26" t="n">
        <v>16272</v>
      </c>
      <c r="D17" s="14" t="n">
        <v>131806.8</v>
      </c>
      <c r="E17" s="27" t="n">
        <f aca="false">DATEDIF(C17, "12/31/2025", "Y")</f>
        <v>81</v>
      </c>
    </row>
    <row r="18" customFormat="false" ht="14.25" hidden="false" customHeight="false" outlineLevel="0" collapsed="false">
      <c r="A18" s="11" t="n">
        <v>17</v>
      </c>
      <c r="B18" s="12" t="s">
        <v>9</v>
      </c>
      <c r="C18" s="26" t="n">
        <v>16508</v>
      </c>
      <c r="D18" s="14" t="n">
        <v>203624.6</v>
      </c>
      <c r="E18" s="27" t="n">
        <f aca="false">DATEDIF(C18, "12/31/2025", "Y")</f>
        <v>80</v>
      </c>
    </row>
    <row r="19" customFormat="false" ht="14.25" hidden="false" customHeight="false" outlineLevel="0" collapsed="false">
      <c r="A19" s="11" t="n">
        <v>18</v>
      </c>
      <c r="B19" s="12" t="s">
        <v>10</v>
      </c>
      <c r="C19" s="26" t="n">
        <v>19216</v>
      </c>
      <c r="D19" s="14" t="n">
        <v>174754.25</v>
      </c>
      <c r="E19" s="27" t="n">
        <f aca="false">DATEDIF(C19, "12/31/2025", "Y")</f>
        <v>73</v>
      </c>
    </row>
    <row r="20" customFormat="false" ht="14.25" hidden="false" customHeight="false" outlineLevel="0" collapsed="false">
      <c r="A20" s="11" t="n">
        <v>19</v>
      </c>
      <c r="B20" s="12" t="s">
        <v>9</v>
      </c>
      <c r="C20" s="26" t="n">
        <v>20179</v>
      </c>
      <c r="D20" s="14" t="n">
        <v>164772.3</v>
      </c>
      <c r="E20" s="27" t="n">
        <f aca="false">DATEDIF(C20, "12/31/2025", "Y")</f>
        <v>70</v>
      </c>
    </row>
    <row r="21" customFormat="false" ht="14.25" hidden="false" customHeight="false" outlineLevel="0" collapsed="false">
      <c r="A21" s="11" t="n">
        <v>20</v>
      </c>
      <c r="B21" s="12" t="s">
        <v>9</v>
      </c>
      <c r="C21" s="26" t="n">
        <v>20486</v>
      </c>
      <c r="D21" s="14" t="n">
        <v>318787</v>
      </c>
      <c r="E21" s="27" t="n">
        <f aca="false">DATEDIF(C21, "12/31/2025", "Y")</f>
        <v>69</v>
      </c>
    </row>
    <row r="22" customFormat="false" ht="14.25" hidden="false" customHeight="false" outlineLevel="0" collapsed="false">
      <c r="A22" s="11" t="n">
        <v>21</v>
      </c>
      <c r="B22" s="12" t="s">
        <v>10</v>
      </c>
      <c r="C22" s="26" t="n">
        <v>19582</v>
      </c>
      <c r="D22" s="14" t="n">
        <v>140407.9</v>
      </c>
      <c r="E22" s="27" t="n">
        <f aca="false">DATEDIF(C22, "12/31/2025", "Y")</f>
        <v>72</v>
      </c>
    </row>
    <row r="23" customFormat="false" ht="14.25" hidden="false" customHeight="false" outlineLevel="0" collapsed="false">
      <c r="A23" s="11" t="n">
        <v>22</v>
      </c>
      <c r="B23" s="12" t="s">
        <v>9</v>
      </c>
      <c r="C23" s="26" t="n">
        <v>21853</v>
      </c>
      <c r="D23" s="14" t="n">
        <v>197317.15</v>
      </c>
      <c r="E23" s="27" t="n">
        <f aca="false">DATEDIF(C23, "12/31/2025", "Y")</f>
        <v>66</v>
      </c>
    </row>
    <row r="24" customFormat="false" ht="14.25" hidden="false" customHeight="false" outlineLevel="0" collapsed="false">
      <c r="A24" s="11" t="n">
        <v>23</v>
      </c>
      <c r="B24" s="12" t="s">
        <v>10</v>
      </c>
      <c r="C24" s="26" t="n">
        <v>19971</v>
      </c>
      <c r="D24" s="14" t="n">
        <v>324120</v>
      </c>
      <c r="E24" s="27" t="n">
        <f aca="false">DATEDIF(C24, "12/31/2025", "Y")</f>
        <v>71</v>
      </c>
    </row>
    <row r="25" customFormat="false" ht="14.25" hidden="false" customHeight="false" outlineLevel="0" collapsed="false">
      <c r="A25" s="11" t="n">
        <v>24</v>
      </c>
      <c r="B25" s="12" t="s">
        <v>10</v>
      </c>
      <c r="C25" s="26" t="n">
        <v>15422</v>
      </c>
      <c r="D25" s="14" t="n">
        <v>143938.05</v>
      </c>
      <c r="E25" s="27" t="n">
        <f aca="false">DATEDIF(C25, "12/31/2025", "Y")</f>
        <v>83</v>
      </c>
    </row>
    <row r="26" customFormat="false" ht="14.25" hidden="false" customHeight="false" outlineLevel="0" collapsed="false">
      <c r="A26" s="11" t="n">
        <v>25</v>
      </c>
      <c r="B26" s="12" t="s">
        <v>10</v>
      </c>
      <c r="C26" s="26" t="n">
        <v>14888</v>
      </c>
      <c r="D26" s="14" t="n">
        <v>112228.45</v>
      </c>
      <c r="E26" s="27" t="n">
        <f aca="false">DATEDIF(C26, "12/31/2025", "Y")</f>
        <v>85</v>
      </c>
    </row>
    <row r="27" customFormat="false" ht="14.25" hidden="false" customHeight="false" outlineLevel="0" collapsed="false">
      <c r="A27" s="11" t="n">
        <v>26</v>
      </c>
      <c r="B27" s="12" t="s">
        <v>9</v>
      </c>
      <c r="C27" s="26" t="n">
        <v>21758</v>
      </c>
      <c r="D27" s="14" t="n">
        <v>162193.2</v>
      </c>
      <c r="E27" s="27" t="n">
        <f aca="false">DATEDIF(C27, "12/31/2025", "Y")</f>
        <v>66</v>
      </c>
    </row>
    <row r="28" customFormat="false" ht="14.25" hidden="false" customHeight="false" outlineLevel="0" collapsed="false">
      <c r="A28" s="11" t="n">
        <v>27</v>
      </c>
      <c r="B28" s="12" t="s">
        <v>10</v>
      </c>
      <c r="C28" s="26" t="n">
        <v>21068</v>
      </c>
      <c r="D28" s="14" t="n">
        <v>165420.6</v>
      </c>
      <c r="E28" s="27" t="n">
        <f aca="false">DATEDIF(C28, "12/31/2025", "Y")</f>
        <v>68</v>
      </c>
    </row>
    <row r="29" customFormat="false" ht="14.25" hidden="false" customHeight="false" outlineLevel="0" collapsed="false">
      <c r="A29" s="11" t="n">
        <v>28</v>
      </c>
      <c r="B29" s="12" t="s">
        <v>9</v>
      </c>
      <c r="C29" s="26" t="n">
        <v>19396</v>
      </c>
      <c r="D29" s="14" t="n">
        <v>72760.45</v>
      </c>
      <c r="E29" s="27" t="n">
        <f aca="false">DATEDIF(C29, "12/31/2025", "Y")</f>
        <v>72</v>
      </c>
    </row>
    <row r="30" customFormat="false" ht="14.25" hidden="false" customHeight="false" outlineLevel="0" collapsed="false">
      <c r="A30" s="11" t="n">
        <v>29</v>
      </c>
      <c r="B30" s="12" t="s">
        <v>9</v>
      </c>
      <c r="C30" s="26" t="n">
        <v>15412</v>
      </c>
      <c r="D30" s="14" t="n">
        <v>84354.05</v>
      </c>
      <c r="E30" s="27" t="n">
        <f aca="false">DATEDIF(C30, "12/31/2025", "Y")</f>
        <v>83</v>
      </c>
    </row>
    <row r="31" customFormat="false" ht="14.25" hidden="false" customHeight="false" outlineLevel="0" collapsed="false">
      <c r="A31" s="11" t="n">
        <v>30</v>
      </c>
      <c r="B31" s="12" t="s">
        <v>10</v>
      </c>
      <c r="C31" s="26" t="n">
        <v>16306</v>
      </c>
      <c r="D31" s="14" t="n">
        <v>164196.55</v>
      </c>
      <c r="E31" s="27" t="n">
        <f aca="false">DATEDIF(C31, "12/31/2025", "Y")</f>
        <v>81</v>
      </c>
    </row>
    <row r="32" customFormat="false" ht="14.25" hidden="false" customHeight="false" outlineLevel="0" collapsed="false">
      <c r="A32" s="11" t="n">
        <v>31</v>
      </c>
      <c r="B32" s="12" t="s">
        <v>10</v>
      </c>
      <c r="C32" s="26" t="n">
        <v>16350</v>
      </c>
      <c r="D32" s="14" t="n">
        <v>77960.8</v>
      </c>
      <c r="E32" s="27" t="n">
        <f aca="false">DATEDIF(C32, "12/31/2025", "Y")</f>
        <v>81</v>
      </c>
    </row>
    <row r="33" customFormat="false" ht="14.25" hidden="false" customHeight="false" outlineLevel="0" collapsed="false">
      <c r="A33" s="11" t="n">
        <v>32</v>
      </c>
      <c r="B33" s="12" t="s">
        <v>10</v>
      </c>
      <c r="C33" s="26" t="n">
        <v>17152</v>
      </c>
      <c r="D33" s="14" t="n">
        <v>324120</v>
      </c>
      <c r="E33" s="27" t="n">
        <f aca="false">DATEDIF(C33, "12/31/2025", "Y")</f>
        <v>79</v>
      </c>
    </row>
    <row r="34" customFormat="false" ht="14.25" hidden="false" customHeight="false" outlineLevel="0" collapsed="false">
      <c r="A34" s="11" t="n">
        <v>33</v>
      </c>
      <c r="B34" s="12" t="s">
        <v>9</v>
      </c>
      <c r="C34" s="26" t="n">
        <v>19101</v>
      </c>
      <c r="D34" s="14" t="n">
        <v>151965.05</v>
      </c>
      <c r="E34" s="27" t="n">
        <f aca="false">DATEDIF(C34, "12/31/2025", "Y")</f>
        <v>73</v>
      </c>
    </row>
    <row r="35" customFormat="false" ht="14.25" hidden="false" customHeight="false" outlineLevel="0" collapsed="false">
      <c r="A35" s="11" t="n">
        <v>34</v>
      </c>
      <c r="B35" s="12" t="s">
        <v>9</v>
      </c>
      <c r="C35" s="26" t="n">
        <v>16389</v>
      </c>
      <c r="D35" s="14" t="n">
        <v>136227.4</v>
      </c>
      <c r="E35" s="27" t="n">
        <f aca="false">DATEDIF(C35, "12/31/2025", "Y")</f>
        <v>81</v>
      </c>
    </row>
    <row r="36" customFormat="false" ht="14.25" hidden="false" customHeight="false" outlineLevel="0" collapsed="false">
      <c r="A36" s="11" t="n">
        <v>35</v>
      </c>
      <c r="B36" s="12" t="s">
        <v>9</v>
      </c>
      <c r="C36" s="26" t="n">
        <v>15312</v>
      </c>
      <c r="D36" s="14" t="n">
        <v>324120</v>
      </c>
      <c r="E36" s="27" t="n">
        <f aca="false">DATEDIF(C36, "12/31/2025", "Y")</f>
        <v>84</v>
      </c>
    </row>
    <row r="37" customFormat="false" ht="14.25" hidden="false" customHeight="false" outlineLevel="0" collapsed="false">
      <c r="A37" s="11" t="n">
        <v>36</v>
      </c>
      <c r="B37" s="12" t="s">
        <v>9</v>
      </c>
      <c r="C37" s="26" t="n">
        <v>16111</v>
      </c>
      <c r="D37" s="14" t="n">
        <v>122776.6</v>
      </c>
      <c r="E37" s="27" t="n">
        <f aca="false">DATEDIF(C37, "12/31/2025", "Y")</f>
        <v>81</v>
      </c>
    </row>
    <row r="38" customFormat="false" ht="14.25" hidden="false" customHeight="false" outlineLevel="0" collapsed="false">
      <c r="A38" s="11" t="n">
        <v>37</v>
      </c>
      <c r="B38" s="12" t="s">
        <v>9</v>
      </c>
      <c r="C38" s="26" t="n">
        <v>21428</v>
      </c>
      <c r="D38" s="14" t="n">
        <v>201244.2</v>
      </c>
      <c r="E38" s="27" t="n">
        <f aca="false">DATEDIF(C38, "12/31/2025", "Y")</f>
        <v>67</v>
      </c>
    </row>
    <row r="39" customFormat="false" ht="14.25" hidden="false" customHeight="false" outlineLevel="0" collapsed="false">
      <c r="A39" s="11" t="n">
        <v>38</v>
      </c>
      <c r="B39" s="12" t="s">
        <v>9</v>
      </c>
      <c r="C39" s="26" t="n">
        <v>19017</v>
      </c>
      <c r="D39" s="14" t="n">
        <v>100586.45</v>
      </c>
      <c r="E39" s="27" t="n">
        <f aca="false">DATEDIF(C39, "12/31/2025", "Y")</f>
        <v>73</v>
      </c>
    </row>
    <row r="40" customFormat="false" ht="14.25" hidden="false" customHeight="false" outlineLevel="0" collapsed="false">
      <c r="A40" s="11" t="n">
        <v>39</v>
      </c>
      <c r="B40" s="12" t="s">
        <v>10</v>
      </c>
      <c r="C40" s="26" t="n">
        <v>21300</v>
      </c>
      <c r="D40" s="14" t="n">
        <v>318787</v>
      </c>
      <c r="E40" s="27" t="n">
        <f aca="false">DATEDIF(C40, "12/31/2025", "Y")</f>
        <v>67</v>
      </c>
    </row>
    <row r="41" customFormat="false" ht="14.25" hidden="false" customHeight="false" outlineLevel="0" collapsed="false">
      <c r="A41" s="11" t="n">
        <v>40</v>
      </c>
      <c r="B41" s="12" t="s">
        <v>10</v>
      </c>
      <c r="C41" s="26" t="n">
        <v>18870</v>
      </c>
      <c r="D41" s="14" t="n">
        <v>324120</v>
      </c>
      <c r="E41" s="27" t="n">
        <f aca="false">DATEDIF(C41, "12/31/2025", "Y")</f>
        <v>74</v>
      </c>
    </row>
    <row r="42" customFormat="false" ht="14.25" hidden="false" customHeight="false" outlineLevel="0" collapsed="false">
      <c r="A42" s="11" t="n">
        <v>41</v>
      </c>
      <c r="B42" s="12" t="s">
        <v>9</v>
      </c>
      <c r="C42" s="26" t="n">
        <v>12164</v>
      </c>
      <c r="D42" s="14" t="n">
        <v>100880.35</v>
      </c>
      <c r="E42" s="27" t="n">
        <f aca="false">DATEDIF(C42, "12/31/2025", "Y")</f>
        <v>92</v>
      </c>
    </row>
    <row r="43" customFormat="false" ht="14.25" hidden="false" customHeight="false" outlineLevel="0" collapsed="false">
      <c r="A43" s="11" t="n">
        <v>42</v>
      </c>
      <c r="B43" s="12" t="s">
        <v>10</v>
      </c>
      <c r="C43" s="26" t="n">
        <v>18622</v>
      </c>
      <c r="D43" s="14" t="n">
        <v>324120</v>
      </c>
      <c r="E43" s="27" t="n">
        <f aca="false">DATEDIF(C43, "12/31/2025", "Y")</f>
        <v>75</v>
      </c>
    </row>
    <row r="44" customFormat="false" ht="14.25" hidden="false" customHeight="false" outlineLevel="0" collapsed="false">
      <c r="A44" s="11" t="n">
        <v>43</v>
      </c>
      <c r="B44" s="12" t="s">
        <v>10</v>
      </c>
      <c r="C44" s="26" t="n">
        <v>20421</v>
      </c>
      <c r="D44" s="14" t="n">
        <v>324120</v>
      </c>
      <c r="E44" s="27" t="n">
        <f aca="false">DATEDIF(C44, "12/31/2025", "Y")</f>
        <v>70</v>
      </c>
    </row>
    <row r="45" customFormat="false" ht="14.25" hidden="false" customHeight="false" outlineLevel="0" collapsed="false">
      <c r="A45" s="11" t="n">
        <v>44</v>
      </c>
      <c r="B45" s="12" t="s">
        <v>10</v>
      </c>
      <c r="C45" s="26" t="n">
        <v>20976</v>
      </c>
      <c r="D45" s="14" t="n">
        <v>291410.3</v>
      </c>
      <c r="E45" s="27" t="n">
        <f aca="false">DATEDIF(C45, "12/31/2025", "Y")</f>
        <v>68</v>
      </c>
    </row>
    <row r="46" customFormat="false" ht="14.25" hidden="false" customHeight="false" outlineLevel="0" collapsed="false">
      <c r="A46" s="11" t="n">
        <v>45</v>
      </c>
      <c r="B46" s="12" t="s">
        <v>10</v>
      </c>
      <c r="C46" s="26" t="n">
        <v>19485</v>
      </c>
      <c r="D46" s="14" t="n">
        <v>238538.1</v>
      </c>
      <c r="E46" s="27" t="n">
        <f aca="false">DATEDIF(C46, "12/31/2025", "Y")</f>
        <v>72</v>
      </c>
    </row>
    <row r="47" customFormat="false" ht="14.25" hidden="false" customHeight="false" outlineLevel="0" collapsed="false">
      <c r="A47" s="11" t="n">
        <v>46</v>
      </c>
      <c r="B47" s="12" t="s">
        <v>10</v>
      </c>
      <c r="C47" s="26" t="n">
        <v>20398</v>
      </c>
      <c r="D47" s="14" t="n">
        <v>108514.35</v>
      </c>
      <c r="E47" s="27" t="n">
        <f aca="false">DATEDIF(C47, "12/31/2025", "Y")</f>
        <v>70</v>
      </c>
    </row>
    <row r="48" customFormat="false" ht="14.25" hidden="false" customHeight="false" outlineLevel="0" collapsed="false">
      <c r="A48" s="11" t="n">
        <v>47</v>
      </c>
      <c r="B48" s="12" t="s">
        <v>9</v>
      </c>
      <c r="C48" s="26" t="n">
        <v>19026</v>
      </c>
      <c r="D48" s="14" t="n">
        <v>324120</v>
      </c>
      <c r="E48" s="27" t="n">
        <f aca="false">DATEDIF(C48, "12/31/2025", "Y")</f>
        <v>73</v>
      </c>
    </row>
    <row r="49" customFormat="false" ht="14.25" hidden="false" customHeight="false" outlineLevel="0" collapsed="false">
      <c r="A49" s="11" t="n">
        <v>48</v>
      </c>
      <c r="B49" s="12" t="s">
        <v>10</v>
      </c>
      <c r="C49" s="26" t="n">
        <v>19920</v>
      </c>
      <c r="D49" s="14" t="n">
        <v>29567</v>
      </c>
      <c r="E49" s="27" t="n">
        <f aca="false">DATEDIF(C49, "12/31/2025", "Y")</f>
        <v>71</v>
      </c>
    </row>
    <row r="50" customFormat="false" ht="14.25" hidden="false" customHeight="false" outlineLevel="0" collapsed="false">
      <c r="A50" s="11" t="n">
        <v>49</v>
      </c>
      <c r="B50" s="12" t="s">
        <v>10</v>
      </c>
      <c r="C50" s="26" t="n">
        <v>17231</v>
      </c>
      <c r="D50" s="14" t="n">
        <v>282185.05</v>
      </c>
      <c r="E50" s="27" t="n">
        <f aca="false">DATEDIF(C50, "12/31/2025", "Y")</f>
        <v>78</v>
      </c>
    </row>
    <row r="51" customFormat="false" ht="14.25" hidden="false" customHeight="false" outlineLevel="0" collapsed="false">
      <c r="A51" s="11" t="n">
        <v>50</v>
      </c>
      <c r="B51" s="12" t="s">
        <v>10</v>
      </c>
      <c r="C51" s="26" t="n">
        <v>19056</v>
      </c>
      <c r="D51" s="14" t="n">
        <v>324120</v>
      </c>
      <c r="E51" s="27" t="n">
        <f aca="false">DATEDIF(C51, "12/31/2025", "Y")</f>
        <v>73</v>
      </c>
    </row>
    <row r="52" customFormat="false" ht="14.25" hidden="false" customHeight="false" outlineLevel="0" collapsed="false">
      <c r="A52" s="11" t="n">
        <v>51</v>
      </c>
      <c r="B52" s="12" t="s">
        <v>10</v>
      </c>
      <c r="C52" s="26" t="n">
        <v>18858</v>
      </c>
      <c r="D52" s="14" t="n">
        <v>82471.6</v>
      </c>
      <c r="E52" s="27" t="n">
        <f aca="false">DATEDIF(C52, "12/31/2025", "Y")</f>
        <v>74</v>
      </c>
    </row>
    <row r="53" customFormat="false" ht="14.25" hidden="false" customHeight="false" outlineLevel="0" collapsed="false">
      <c r="A53" s="11" t="n">
        <v>52</v>
      </c>
      <c r="B53" s="12" t="s">
        <v>9</v>
      </c>
      <c r="C53" s="26" t="n">
        <v>15315</v>
      </c>
      <c r="D53" s="14" t="n">
        <v>64942.7</v>
      </c>
      <c r="E53" s="27" t="n">
        <f aca="false">DATEDIF(C53, "12/31/2025", "Y")</f>
        <v>84</v>
      </c>
    </row>
    <row r="54" customFormat="false" ht="14.25" hidden="false" customHeight="false" outlineLevel="0" collapsed="false">
      <c r="A54" s="11" t="n">
        <v>53</v>
      </c>
      <c r="B54" s="12" t="s">
        <v>10</v>
      </c>
      <c r="C54" s="26" t="n">
        <v>15650</v>
      </c>
      <c r="D54" s="14" t="n">
        <v>108688.1</v>
      </c>
      <c r="E54" s="27" t="n">
        <f aca="false">DATEDIF(C54, "12/31/2025", "Y")</f>
        <v>83</v>
      </c>
    </row>
    <row r="55" customFormat="false" ht="14.25" hidden="false" customHeight="false" outlineLevel="0" collapsed="false">
      <c r="A55" s="11" t="n">
        <v>54</v>
      </c>
      <c r="B55" s="12" t="s">
        <v>10</v>
      </c>
      <c r="C55" s="26" t="n">
        <v>18957</v>
      </c>
      <c r="D55" s="14" t="n">
        <v>139921.7</v>
      </c>
      <c r="E55" s="27" t="n">
        <f aca="false">DATEDIF(C55, "12/31/2025", "Y")</f>
        <v>74</v>
      </c>
    </row>
    <row r="56" customFormat="false" ht="14.25" hidden="false" customHeight="false" outlineLevel="0" collapsed="false">
      <c r="A56" s="11" t="n">
        <v>55</v>
      </c>
      <c r="B56" s="12" t="s">
        <v>10</v>
      </c>
      <c r="C56" s="26" t="n">
        <v>20356</v>
      </c>
      <c r="D56" s="14" t="n">
        <v>133295.7</v>
      </c>
      <c r="E56" s="27" t="n">
        <f aca="false">DATEDIF(C56, "12/31/2025", "Y")</f>
        <v>70</v>
      </c>
    </row>
    <row r="57" customFormat="false" ht="14.25" hidden="false" customHeight="false" outlineLevel="0" collapsed="false">
      <c r="A57" s="11" t="n">
        <v>56</v>
      </c>
      <c r="B57" s="12" t="s">
        <v>9</v>
      </c>
      <c r="C57" s="26" t="n">
        <v>20378</v>
      </c>
      <c r="D57" s="14" t="n">
        <v>324120</v>
      </c>
      <c r="E57" s="27" t="n">
        <f aca="false">DATEDIF(C57, "12/31/2025", "Y")</f>
        <v>70</v>
      </c>
    </row>
    <row r="58" customFormat="false" ht="14.25" hidden="false" customHeight="false" outlineLevel="0" collapsed="false">
      <c r="A58" s="11" t="n">
        <v>57</v>
      </c>
      <c r="B58" s="12" t="s">
        <v>9</v>
      </c>
      <c r="C58" s="26" t="n">
        <v>20598</v>
      </c>
      <c r="D58" s="14" t="n">
        <v>322912</v>
      </c>
      <c r="E58" s="27" t="n">
        <f aca="false">DATEDIF(C58, "12/31/2025", "Y")</f>
        <v>69</v>
      </c>
    </row>
    <row r="59" customFormat="false" ht="14.25" hidden="false" customHeight="false" outlineLevel="0" collapsed="false">
      <c r="A59" s="11" t="n">
        <v>58</v>
      </c>
      <c r="B59" s="12" t="s">
        <v>10</v>
      </c>
      <c r="C59" s="26" t="n">
        <v>20283</v>
      </c>
      <c r="D59" s="14" t="n">
        <v>282389.2</v>
      </c>
      <c r="E59" s="27" t="n">
        <f aca="false">DATEDIF(C59, "12/31/2025", "Y")</f>
        <v>70</v>
      </c>
    </row>
    <row r="60" customFormat="false" ht="14.25" hidden="false" customHeight="false" outlineLevel="0" collapsed="false">
      <c r="A60" s="11" t="n">
        <v>59</v>
      </c>
      <c r="B60" s="12" t="s">
        <v>9</v>
      </c>
      <c r="C60" s="26" t="n">
        <v>18549</v>
      </c>
      <c r="D60" s="14" t="n">
        <v>32427</v>
      </c>
      <c r="E60" s="27" t="n">
        <f aca="false">DATEDIF(C60, "12/31/2025", "Y")</f>
        <v>75</v>
      </c>
    </row>
    <row r="61" customFormat="false" ht="14.25" hidden="false" customHeight="false" outlineLevel="0" collapsed="false">
      <c r="A61" s="11" t="n">
        <v>60</v>
      </c>
      <c r="B61" s="12" t="s">
        <v>9</v>
      </c>
      <c r="C61" s="26" t="n">
        <v>18516</v>
      </c>
      <c r="D61" s="14" t="n">
        <v>78422.75</v>
      </c>
      <c r="E61" s="27" t="n">
        <f aca="false">DATEDIF(C61, "12/31/2025", "Y")</f>
        <v>75</v>
      </c>
    </row>
    <row r="62" customFormat="false" ht="14.25" hidden="false" customHeight="false" outlineLevel="0" collapsed="false">
      <c r="A62" s="11" t="n">
        <v>61</v>
      </c>
      <c r="B62" s="12" t="s">
        <v>10</v>
      </c>
      <c r="C62" s="26" t="n">
        <v>21224</v>
      </c>
      <c r="D62" s="14" t="n">
        <v>162643.2</v>
      </c>
      <c r="E62" s="27" t="n">
        <f aca="false">DATEDIF(C62, "12/31/2025", "Y")</f>
        <v>67</v>
      </c>
    </row>
    <row r="63" customFormat="false" ht="14.25" hidden="false" customHeight="false" outlineLevel="0" collapsed="false">
      <c r="A63" s="11" t="n">
        <v>62</v>
      </c>
      <c r="B63" s="12" t="s">
        <v>9</v>
      </c>
      <c r="C63" s="26" t="n">
        <v>20757</v>
      </c>
      <c r="D63" s="14" t="n">
        <v>105752.1</v>
      </c>
      <c r="E63" s="27" t="n">
        <f aca="false">DATEDIF(C63, "12/31/2025", "Y")</f>
        <v>69</v>
      </c>
    </row>
    <row r="64" customFormat="false" ht="14.25" hidden="false" customHeight="false" outlineLevel="0" collapsed="false">
      <c r="A64" s="11" t="n">
        <v>63</v>
      </c>
      <c r="B64" s="12" t="s">
        <v>9</v>
      </c>
      <c r="C64" s="26" t="n">
        <v>20582</v>
      </c>
      <c r="D64" s="14" t="n">
        <v>144402.35</v>
      </c>
      <c r="E64" s="27" t="n">
        <f aca="false">DATEDIF(C64, "12/31/2025", "Y")</f>
        <v>69</v>
      </c>
    </row>
    <row r="65" customFormat="false" ht="14.25" hidden="false" customHeight="false" outlineLevel="0" collapsed="false">
      <c r="A65" s="11" t="n">
        <v>64</v>
      </c>
      <c r="B65" s="12" t="s">
        <v>9</v>
      </c>
      <c r="C65" s="26" t="n">
        <v>15018</v>
      </c>
      <c r="D65" s="14" t="n">
        <v>311859.75</v>
      </c>
      <c r="E65" s="27" t="n">
        <f aca="false">DATEDIF(C65, "12/31/2025", "Y")</f>
        <v>84</v>
      </c>
    </row>
    <row r="66" customFormat="false" ht="14.25" hidden="false" customHeight="false" outlineLevel="0" collapsed="false">
      <c r="A66" s="11" t="n">
        <v>65</v>
      </c>
      <c r="B66" s="12" t="s">
        <v>9</v>
      </c>
      <c r="C66" s="26" t="n">
        <v>20037</v>
      </c>
      <c r="D66" s="14" t="n">
        <v>55597.9</v>
      </c>
      <c r="E66" s="27" t="n">
        <f aca="false">DATEDIF(C66, "12/31/2025", "Y")</f>
        <v>71</v>
      </c>
    </row>
    <row r="67" customFormat="false" ht="14.25" hidden="false" customHeight="false" outlineLevel="0" collapsed="false">
      <c r="A67" s="11" t="n">
        <v>66</v>
      </c>
      <c r="B67" s="12" t="s">
        <v>10</v>
      </c>
      <c r="C67" s="26" t="n">
        <v>23497</v>
      </c>
      <c r="D67" s="14" t="n">
        <v>172424</v>
      </c>
      <c r="E67" s="27" t="n">
        <f aca="false">DATEDIF(C67, "12/31/2025", "Y")</f>
        <v>61</v>
      </c>
    </row>
    <row r="68" customFormat="false" ht="14.25" hidden="false" customHeight="false" outlineLevel="0" collapsed="false">
      <c r="A68" s="11" t="n">
        <v>67</v>
      </c>
      <c r="B68" s="12" t="s">
        <v>9</v>
      </c>
      <c r="C68" s="26" t="n">
        <v>18486</v>
      </c>
      <c r="D68" s="14" t="n">
        <v>104609.4</v>
      </c>
      <c r="E68" s="27" t="n">
        <f aca="false">DATEDIF(C68, "12/31/2025", "Y")</f>
        <v>75</v>
      </c>
    </row>
    <row r="69" customFormat="false" ht="14.25" hidden="false" customHeight="false" outlineLevel="0" collapsed="false">
      <c r="A69" s="11" t="n">
        <v>68</v>
      </c>
      <c r="B69" s="12" t="s">
        <v>9</v>
      </c>
      <c r="C69" s="26" t="n">
        <v>23119</v>
      </c>
      <c r="D69" s="14" t="n">
        <v>175985.75</v>
      </c>
      <c r="E69" s="27" t="n">
        <f aca="false">DATEDIF(C69, "12/31/2025", "Y")</f>
        <v>62</v>
      </c>
    </row>
    <row r="70" customFormat="false" ht="14.25" hidden="false" customHeight="false" outlineLevel="0" collapsed="false">
      <c r="A70" s="11" t="n">
        <v>69</v>
      </c>
      <c r="B70" s="12" t="s">
        <v>10</v>
      </c>
      <c r="C70" s="26" t="n">
        <v>13372</v>
      </c>
      <c r="D70" s="14" t="n">
        <v>81568.55</v>
      </c>
      <c r="E70" s="27" t="n">
        <f aca="false">DATEDIF(C70, "12/31/2025", "Y")</f>
        <v>89</v>
      </c>
    </row>
    <row r="71" customFormat="false" ht="14.25" hidden="false" customHeight="false" outlineLevel="0" collapsed="false">
      <c r="A71" s="11" t="n">
        <v>70</v>
      </c>
      <c r="B71" s="12" t="s">
        <v>9</v>
      </c>
      <c r="C71" s="26" t="n">
        <v>21089</v>
      </c>
      <c r="D71" s="14" t="n">
        <v>34376.1</v>
      </c>
      <c r="E71" s="27" t="n">
        <f aca="false">DATEDIF(C71, "12/31/2025", "Y")</f>
        <v>68</v>
      </c>
    </row>
    <row r="72" customFormat="false" ht="14.25" hidden="false" customHeight="false" outlineLevel="0" collapsed="false">
      <c r="A72" s="11" t="n">
        <v>71</v>
      </c>
      <c r="B72" s="12" t="s">
        <v>9</v>
      </c>
      <c r="C72" s="26" t="n">
        <v>21025</v>
      </c>
      <c r="D72" s="14" t="n">
        <v>315967.2</v>
      </c>
      <c r="E72" s="27" t="n">
        <f aca="false">DATEDIF(C72, "12/31/2025", "Y")</f>
        <v>68</v>
      </c>
    </row>
    <row r="73" customFormat="false" ht="14.25" hidden="false" customHeight="false" outlineLevel="0" collapsed="false">
      <c r="A73" s="11" t="n">
        <v>72</v>
      </c>
      <c r="B73" s="12" t="s">
        <v>9</v>
      </c>
      <c r="C73" s="26" t="n">
        <v>19884</v>
      </c>
      <c r="D73" s="14" t="n">
        <v>89487.15</v>
      </c>
      <c r="E73" s="27" t="n">
        <f aca="false">DATEDIF(C73, "12/31/2025", "Y")</f>
        <v>71</v>
      </c>
    </row>
    <row r="74" customFormat="false" ht="14.25" hidden="false" customHeight="false" outlineLevel="0" collapsed="false">
      <c r="A74" s="11" t="n">
        <v>73</v>
      </c>
      <c r="B74" s="12" t="s">
        <v>10</v>
      </c>
      <c r="C74" s="26" t="n">
        <v>21047</v>
      </c>
      <c r="D74" s="14" t="n">
        <v>115173.25</v>
      </c>
      <c r="E74" s="27" t="n">
        <f aca="false">DATEDIF(C74, "12/31/2025", "Y")</f>
        <v>68</v>
      </c>
    </row>
    <row r="75" customFormat="false" ht="14.25" hidden="false" customHeight="false" outlineLevel="0" collapsed="false">
      <c r="A75" s="11" t="n">
        <v>74</v>
      </c>
      <c r="B75" s="12" t="s">
        <v>9</v>
      </c>
      <c r="C75" s="26" t="n">
        <v>18974</v>
      </c>
      <c r="D75" s="14" t="n">
        <v>150016.3</v>
      </c>
      <c r="E75" s="27" t="n">
        <f aca="false">DATEDIF(C75, "12/31/2025", "Y")</f>
        <v>74</v>
      </c>
    </row>
    <row r="76" customFormat="false" ht="14.25" hidden="false" customHeight="false" outlineLevel="0" collapsed="false">
      <c r="A76" s="11" t="n">
        <v>75</v>
      </c>
      <c r="B76" s="12" t="s">
        <v>10</v>
      </c>
      <c r="C76" s="26" t="n">
        <v>19814</v>
      </c>
      <c r="D76" s="14" t="n">
        <v>108198.1</v>
      </c>
      <c r="E76" s="27" t="n">
        <f aca="false">DATEDIF(C76, "12/31/2025", "Y")</f>
        <v>71</v>
      </c>
    </row>
    <row r="77" customFormat="false" ht="14.25" hidden="false" customHeight="false" outlineLevel="0" collapsed="false">
      <c r="A77" s="11" t="n">
        <v>76</v>
      </c>
      <c r="B77" s="12" t="s">
        <v>9</v>
      </c>
      <c r="C77" s="26" t="n">
        <v>17486</v>
      </c>
      <c r="D77" s="14" t="n">
        <v>136617.4</v>
      </c>
      <c r="E77" s="27" t="n">
        <f aca="false">DATEDIF(C77, "12/31/2025", "Y")</f>
        <v>78</v>
      </c>
    </row>
    <row r="78" customFormat="false" ht="14.25" hidden="false" customHeight="false" outlineLevel="0" collapsed="false">
      <c r="A78" s="11" t="n">
        <v>77</v>
      </c>
      <c r="B78" s="12" t="s">
        <v>9</v>
      </c>
      <c r="C78" s="26" t="n">
        <v>16460</v>
      </c>
      <c r="D78" s="14" t="n">
        <v>175954.25</v>
      </c>
      <c r="E78" s="27" t="n">
        <f aca="false">DATEDIF(C78, "12/31/2025", "Y")</f>
        <v>80</v>
      </c>
    </row>
    <row r="79" customFormat="false" ht="14.25" hidden="false" customHeight="false" outlineLevel="0" collapsed="false">
      <c r="A79" s="11" t="n">
        <v>78</v>
      </c>
      <c r="B79" s="12" t="s">
        <v>10</v>
      </c>
      <c r="C79" s="26" t="n">
        <v>20271</v>
      </c>
      <c r="D79" s="14" t="n">
        <v>322912</v>
      </c>
      <c r="E79" s="27" t="n">
        <f aca="false">DATEDIF(C79, "12/31/2025", "Y")</f>
        <v>70</v>
      </c>
    </row>
    <row r="80" customFormat="false" ht="14.25" hidden="false" customHeight="false" outlineLevel="0" collapsed="false">
      <c r="A80" s="11" t="n">
        <v>79</v>
      </c>
      <c r="B80" s="12" t="s">
        <v>9</v>
      </c>
      <c r="C80" s="26" t="n">
        <v>23374</v>
      </c>
      <c r="D80" s="14" t="n">
        <v>324120</v>
      </c>
      <c r="E80" s="27" t="n">
        <f aca="false">DATEDIF(C80, "12/31/2025", "Y")</f>
        <v>62</v>
      </c>
    </row>
    <row r="81" customFormat="false" ht="14.25" hidden="false" customHeight="false" outlineLevel="0" collapsed="false">
      <c r="A81" s="11" t="n">
        <v>80</v>
      </c>
      <c r="B81" s="12" t="s">
        <v>9</v>
      </c>
      <c r="C81" s="26" t="n">
        <v>21241</v>
      </c>
      <c r="D81" s="14" t="n">
        <v>145171.45</v>
      </c>
      <c r="E81" s="27" t="n">
        <f aca="false">DATEDIF(C81, "12/31/2025", "Y")</f>
        <v>67</v>
      </c>
    </row>
    <row r="82" customFormat="false" ht="14.25" hidden="false" customHeight="false" outlineLevel="0" collapsed="false">
      <c r="A82" s="11" t="n">
        <v>81</v>
      </c>
      <c r="B82" s="12" t="s">
        <v>9</v>
      </c>
      <c r="C82" s="26" t="n">
        <v>22873</v>
      </c>
      <c r="D82" s="14" t="n">
        <v>324120</v>
      </c>
      <c r="E82" s="27" t="n">
        <f aca="false">DATEDIF(C82, "12/31/2025", "Y")</f>
        <v>63</v>
      </c>
    </row>
    <row r="83" customFormat="false" ht="14.25" hidden="false" customHeight="false" outlineLevel="0" collapsed="false">
      <c r="A83" s="11" t="n">
        <v>82</v>
      </c>
      <c r="B83" s="12" t="s">
        <v>10</v>
      </c>
      <c r="C83" s="26" t="n">
        <v>23738</v>
      </c>
      <c r="D83" s="14" t="n">
        <v>324120</v>
      </c>
      <c r="E83" s="27" t="n">
        <f aca="false">DATEDIF(C83, "12/31/2025", "Y")</f>
        <v>61</v>
      </c>
    </row>
    <row r="84" customFormat="false" ht="14.25" hidden="false" customHeight="false" outlineLevel="0" collapsed="false">
      <c r="A84" s="11" t="n">
        <v>83</v>
      </c>
      <c r="B84" s="12" t="s">
        <v>9</v>
      </c>
      <c r="C84" s="26" t="n">
        <v>20856</v>
      </c>
      <c r="D84" s="14" t="n">
        <v>324120</v>
      </c>
      <c r="E84" s="27" t="n">
        <f aca="false">DATEDIF(C84, "12/31/2025", "Y")</f>
        <v>68</v>
      </c>
    </row>
    <row r="85" customFormat="false" ht="14.25" hidden="false" customHeight="false" outlineLevel="0" collapsed="false">
      <c r="A85" s="11" t="n">
        <v>84</v>
      </c>
      <c r="B85" s="12" t="s">
        <v>9</v>
      </c>
      <c r="C85" s="26" t="n">
        <v>17799</v>
      </c>
      <c r="D85" s="14" t="n">
        <v>169080.25</v>
      </c>
      <c r="E85" s="27" t="n">
        <f aca="false">DATEDIF(C85, "12/31/2025", "Y")</f>
        <v>77</v>
      </c>
    </row>
    <row r="86" customFormat="false" ht="14.25" hidden="false" customHeight="false" outlineLevel="0" collapsed="false">
      <c r="A86" s="11" t="n">
        <v>85</v>
      </c>
      <c r="B86" s="12" t="s">
        <v>10</v>
      </c>
      <c r="C86" s="26" t="n">
        <v>22673</v>
      </c>
      <c r="D86" s="14" t="n">
        <v>181469.35</v>
      </c>
      <c r="E86" s="27" t="n">
        <f aca="false">DATEDIF(C86, "12/31/2025", "Y")</f>
        <v>63</v>
      </c>
    </row>
    <row r="87" customFormat="false" ht="14.25" hidden="false" customHeight="false" outlineLevel="0" collapsed="false">
      <c r="A87" s="11" t="n">
        <v>86</v>
      </c>
      <c r="B87" s="12" t="s">
        <v>9</v>
      </c>
      <c r="C87" s="26" t="n">
        <v>21980</v>
      </c>
      <c r="D87" s="14" t="n">
        <v>324120</v>
      </c>
      <c r="E87" s="27" t="n">
        <f aca="false">DATEDIF(C87, "12/31/2025", "Y")</f>
        <v>65</v>
      </c>
    </row>
    <row r="88" customFormat="false" ht="14.25" hidden="false" customHeight="false" outlineLevel="0" collapsed="false">
      <c r="A88" s="11" t="n">
        <v>87</v>
      </c>
      <c r="B88" s="12" t="s">
        <v>10</v>
      </c>
      <c r="C88" s="26" t="n">
        <v>18254</v>
      </c>
      <c r="D88" s="14" t="n">
        <v>223320.5</v>
      </c>
      <c r="E88" s="27" t="n">
        <f aca="false">DATEDIF(C88, "12/31/2025", "Y")</f>
        <v>76</v>
      </c>
    </row>
    <row r="89" customFormat="false" ht="14.25" hidden="false" customHeight="false" outlineLevel="0" collapsed="false">
      <c r="A89" s="11" t="n">
        <v>88</v>
      </c>
      <c r="B89" s="12" t="s">
        <v>9</v>
      </c>
      <c r="C89" s="26" t="n">
        <v>20088</v>
      </c>
      <c r="D89" s="14" t="n">
        <v>72576.1</v>
      </c>
      <c r="E89" s="27" t="n">
        <f aca="false">DATEDIF(C89, "12/31/2025", "Y")</f>
        <v>71</v>
      </c>
    </row>
    <row r="90" customFormat="false" ht="14.25" hidden="false" customHeight="false" outlineLevel="0" collapsed="false">
      <c r="A90" s="11" t="n">
        <v>89</v>
      </c>
      <c r="B90" s="12" t="s">
        <v>9</v>
      </c>
      <c r="C90" s="26" t="n">
        <v>20049</v>
      </c>
      <c r="D90" s="14" t="n">
        <v>149187.05</v>
      </c>
      <c r="E90" s="27" t="n">
        <f aca="false">DATEDIF(C90, "12/31/2025", "Y")</f>
        <v>71</v>
      </c>
    </row>
    <row r="91" customFormat="false" ht="14.25" hidden="false" customHeight="false" outlineLevel="0" collapsed="false">
      <c r="A91" s="11" t="n">
        <v>90</v>
      </c>
      <c r="B91" s="12" t="s">
        <v>10</v>
      </c>
      <c r="C91" s="26" t="n">
        <v>16789</v>
      </c>
      <c r="D91" s="14" t="n">
        <v>324120</v>
      </c>
      <c r="E91" s="27" t="n">
        <f aca="false">DATEDIF(C91, "12/31/2025", "Y")</f>
        <v>80</v>
      </c>
    </row>
    <row r="92" customFormat="false" ht="14.25" hidden="false" customHeight="false" outlineLevel="0" collapsed="false">
      <c r="A92" s="11" t="n">
        <v>91</v>
      </c>
      <c r="B92" s="12" t="s">
        <v>9</v>
      </c>
      <c r="C92" s="26" t="n">
        <v>16973</v>
      </c>
      <c r="D92" s="14" t="n">
        <v>116643.75</v>
      </c>
      <c r="E92" s="27" t="n">
        <f aca="false">DATEDIF(C92, "12/31/2025", "Y")</f>
        <v>79</v>
      </c>
    </row>
    <row r="93" customFormat="false" ht="14.25" hidden="false" customHeight="false" outlineLevel="0" collapsed="false">
      <c r="A93" s="11" t="n">
        <v>92</v>
      </c>
      <c r="B93" s="12" t="s">
        <v>9</v>
      </c>
      <c r="C93" s="26" t="n">
        <v>20979</v>
      </c>
      <c r="D93" s="14" t="n">
        <v>323864.85</v>
      </c>
      <c r="E93" s="27" t="n">
        <f aca="false">DATEDIF(C93, "12/31/2025", "Y")</f>
        <v>68</v>
      </c>
    </row>
    <row r="94" customFormat="false" ht="14.25" hidden="false" customHeight="false" outlineLevel="0" collapsed="false">
      <c r="A94" s="11" t="n">
        <v>93</v>
      </c>
      <c r="B94" s="12" t="s">
        <v>10</v>
      </c>
      <c r="C94" s="26" t="n">
        <v>23056</v>
      </c>
      <c r="D94" s="14" t="n">
        <v>320412.8</v>
      </c>
      <c r="E94" s="27" t="n">
        <f aca="false">DATEDIF(C94, "12/31/2025", "Y")</f>
        <v>62</v>
      </c>
    </row>
    <row r="95" customFormat="false" ht="14.25" hidden="false" customHeight="false" outlineLevel="0" collapsed="false">
      <c r="A95" s="11" t="n">
        <v>94</v>
      </c>
      <c r="B95" s="12" t="s">
        <v>9</v>
      </c>
      <c r="C95" s="26" t="n">
        <v>22518</v>
      </c>
      <c r="D95" s="14" t="n">
        <v>324120</v>
      </c>
      <c r="E95" s="27" t="n">
        <f aca="false">DATEDIF(C95, "12/31/2025", "Y")</f>
        <v>64</v>
      </c>
    </row>
    <row r="96" customFormat="false" ht="14.25" hidden="false" customHeight="false" outlineLevel="0" collapsed="false">
      <c r="A96" s="11" t="n">
        <v>95</v>
      </c>
      <c r="B96" s="12" t="s">
        <v>10</v>
      </c>
      <c r="C96" s="26" t="n">
        <v>15503</v>
      </c>
      <c r="D96" s="14" t="n">
        <v>297379.55</v>
      </c>
      <c r="E96" s="27" t="n">
        <f aca="false">DATEDIF(C96, "12/31/2025", "Y")</f>
        <v>83</v>
      </c>
    </row>
    <row r="97" customFormat="false" ht="14.25" hidden="false" customHeight="false" outlineLevel="0" collapsed="false">
      <c r="A97" s="11" t="n">
        <v>96</v>
      </c>
      <c r="B97" s="12" t="s">
        <v>10</v>
      </c>
      <c r="C97" s="26" t="n">
        <v>14692</v>
      </c>
      <c r="D97" s="14" t="n">
        <v>315367.85</v>
      </c>
      <c r="E97" s="27" t="n">
        <f aca="false">DATEDIF(C97, "12/31/2025", "Y")</f>
        <v>85</v>
      </c>
    </row>
    <row r="98" customFormat="false" ht="14.25" hidden="false" customHeight="false" outlineLevel="0" collapsed="false">
      <c r="A98" s="11" t="n">
        <v>97</v>
      </c>
      <c r="B98" s="12" t="s">
        <v>10</v>
      </c>
      <c r="C98" s="26" t="n">
        <v>15465</v>
      </c>
      <c r="D98" s="14" t="n">
        <v>183896.25</v>
      </c>
      <c r="E98" s="27" t="n">
        <f aca="false">DATEDIF(C98, "12/31/2025", "Y")</f>
        <v>83</v>
      </c>
    </row>
    <row r="99" customFormat="false" ht="14.25" hidden="false" customHeight="false" outlineLevel="0" collapsed="false">
      <c r="A99" s="11" t="n">
        <v>98</v>
      </c>
      <c r="B99" s="12" t="s">
        <v>9</v>
      </c>
      <c r="C99" s="26" t="n">
        <v>14976</v>
      </c>
      <c r="D99" s="14" t="n">
        <v>102442.2</v>
      </c>
      <c r="E99" s="27" t="n">
        <f aca="false">DATEDIF(C99, "12/31/2025", "Y")</f>
        <v>85</v>
      </c>
    </row>
    <row r="100" customFormat="false" ht="14.25" hidden="false" customHeight="false" outlineLevel="0" collapsed="false">
      <c r="A100" s="11" t="n">
        <v>99</v>
      </c>
      <c r="B100" s="12" t="s">
        <v>10</v>
      </c>
      <c r="C100" s="26" t="n">
        <v>14837</v>
      </c>
      <c r="D100" s="14" t="n">
        <v>54662.7</v>
      </c>
      <c r="E100" s="27" t="n">
        <f aca="false">DATEDIF(C100, "12/31/2025", "Y")</f>
        <v>85</v>
      </c>
    </row>
    <row r="101" customFormat="false" ht="14.25" hidden="false" customHeight="false" outlineLevel="0" collapsed="false">
      <c r="A101" s="11" t="n">
        <v>100</v>
      </c>
      <c r="B101" s="12" t="s">
        <v>9</v>
      </c>
      <c r="C101" s="26" t="n">
        <v>20002</v>
      </c>
      <c r="D101" s="14" t="n">
        <v>322620.05</v>
      </c>
      <c r="E101" s="27" t="n">
        <f aca="false">DATEDIF(C101, "12/31/2025", "Y")</f>
        <v>71</v>
      </c>
    </row>
    <row r="102" customFormat="false" ht="14.25" hidden="false" customHeight="false" outlineLevel="0" collapsed="false">
      <c r="A102" s="11" t="n">
        <v>101</v>
      </c>
      <c r="B102" s="12" t="s">
        <v>9</v>
      </c>
      <c r="C102" s="26" t="n">
        <v>14361</v>
      </c>
      <c r="D102" s="14" t="n">
        <v>158226.75</v>
      </c>
      <c r="E102" s="27" t="n">
        <f aca="false">DATEDIF(C102, "12/31/2025", "Y")</f>
        <v>86</v>
      </c>
    </row>
    <row r="103" customFormat="false" ht="14.25" hidden="false" customHeight="false" outlineLevel="0" collapsed="false">
      <c r="A103" s="11" t="n">
        <v>102</v>
      </c>
      <c r="B103" s="12" t="s">
        <v>10</v>
      </c>
      <c r="C103" s="26" t="n">
        <v>20791</v>
      </c>
      <c r="D103" s="14" t="n">
        <v>207620.85</v>
      </c>
      <c r="E103" s="27" t="n">
        <f aca="false">DATEDIF(C103, "12/31/2025", "Y")</f>
        <v>69</v>
      </c>
    </row>
    <row r="104" customFormat="false" ht="14.25" hidden="false" customHeight="false" outlineLevel="0" collapsed="false">
      <c r="A104" s="11" t="n">
        <v>103</v>
      </c>
      <c r="B104" s="12" t="s">
        <v>10</v>
      </c>
      <c r="C104" s="26" t="n">
        <v>22336</v>
      </c>
      <c r="D104" s="14" t="n">
        <v>324120</v>
      </c>
      <c r="E104" s="27" t="n">
        <f aca="false">DATEDIF(C104, "12/31/2025", "Y")</f>
        <v>64</v>
      </c>
    </row>
    <row r="105" customFormat="false" ht="14.25" hidden="false" customHeight="false" outlineLevel="0" collapsed="false">
      <c r="A105" s="11" t="n">
        <v>104</v>
      </c>
      <c r="B105" s="12" t="s">
        <v>10</v>
      </c>
      <c r="C105" s="26" t="n">
        <v>20403</v>
      </c>
      <c r="D105" s="14" t="n">
        <v>140473.35</v>
      </c>
      <c r="E105" s="27" t="n">
        <f aca="false">DATEDIF(C105, "12/31/2025", "Y")</f>
        <v>70</v>
      </c>
    </row>
    <row r="106" customFormat="false" ht="14.25" hidden="false" customHeight="false" outlineLevel="0" collapsed="false">
      <c r="A106" s="11" t="n">
        <v>105</v>
      </c>
      <c r="B106" s="12" t="s">
        <v>9</v>
      </c>
      <c r="C106" s="26" t="n">
        <v>19435</v>
      </c>
      <c r="D106" s="14" t="n">
        <v>324120</v>
      </c>
      <c r="E106" s="27" t="n">
        <f aca="false">DATEDIF(C106, "12/31/2025", "Y")</f>
        <v>72</v>
      </c>
    </row>
    <row r="107" customFormat="false" ht="14.25" hidden="false" customHeight="false" outlineLevel="0" collapsed="false">
      <c r="A107" s="11" t="n">
        <v>106</v>
      </c>
      <c r="B107" s="12" t="s">
        <v>9</v>
      </c>
      <c r="C107" s="26" t="n">
        <v>15638</v>
      </c>
      <c r="D107" s="14" t="n">
        <v>150465.65</v>
      </c>
      <c r="E107" s="27" t="n">
        <f aca="false">DATEDIF(C107, "12/31/2025", "Y")</f>
        <v>83</v>
      </c>
    </row>
    <row r="108" customFormat="false" ht="14.25" hidden="false" customHeight="false" outlineLevel="0" collapsed="false">
      <c r="A108" s="11" t="n">
        <v>107</v>
      </c>
      <c r="B108" s="12" t="s">
        <v>9</v>
      </c>
      <c r="C108" s="26" t="n">
        <v>15262</v>
      </c>
      <c r="D108" s="14" t="n">
        <v>70742.1</v>
      </c>
      <c r="E108" s="27" t="n">
        <f aca="false">DATEDIF(C108, "12/31/2025", "Y")</f>
        <v>84</v>
      </c>
    </row>
    <row r="109" customFormat="false" ht="14.25" hidden="false" customHeight="false" outlineLevel="0" collapsed="false">
      <c r="A109" s="11" t="n">
        <v>108</v>
      </c>
      <c r="B109" s="12" t="s">
        <v>9</v>
      </c>
      <c r="C109" s="26" t="n">
        <v>19558</v>
      </c>
      <c r="D109" s="14" t="n">
        <v>65459.7</v>
      </c>
      <c r="E109" s="27" t="n">
        <f aca="false">DATEDIF(C109, "12/31/2025", "Y")</f>
        <v>72</v>
      </c>
    </row>
    <row r="110" customFormat="false" ht="14.25" hidden="false" customHeight="false" outlineLevel="0" collapsed="false">
      <c r="A110" s="11" t="n">
        <v>109</v>
      </c>
      <c r="B110" s="12" t="s">
        <v>9</v>
      </c>
      <c r="C110" s="26" t="n">
        <v>19830</v>
      </c>
      <c r="D110" s="14" t="n">
        <v>157792.75</v>
      </c>
      <c r="E110" s="27" t="n">
        <f aca="false">DATEDIF(C110, "12/31/2025", "Y")</f>
        <v>71</v>
      </c>
    </row>
    <row r="111" customFormat="false" ht="14.25" hidden="false" customHeight="false" outlineLevel="0" collapsed="false">
      <c r="A111" s="11" t="n">
        <v>110</v>
      </c>
      <c r="B111" s="12" t="s">
        <v>9</v>
      </c>
      <c r="C111" s="26" t="n">
        <v>19104</v>
      </c>
      <c r="D111" s="14" t="n">
        <v>324120</v>
      </c>
      <c r="E111" s="27" t="n">
        <f aca="false">DATEDIF(C111, "12/31/2025", "Y")</f>
        <v>73</v>
      </c>
    </row>
    <row r="112" customFormat="false" ht="14.25" hidden="false" customHeight="false" outlineLevel="0" collapsed="false">
      <c r="A112" s="11" t="n">
        <v>111</v>
      </c>
      <c r="B112" s="12" t="s">
        <v>10</v>
      </c>
      <c r="C112" s="26" t="n">
        <v>20794</v>
      </c>
      <c r="D112" s="14" t="n">
        <v>267911.6</v>
      </c>
      <c r="E112" s="27" t="n">
        <f aca="false">DATEDIF(C112, "12/31/2025", "Y")</f>
        <v>69</v>
      </c>
    </row>
    <row r="113" customFormat="false" ht="14.25" hidden="false" customHeight="false" outlineLevel="0" collapsed="false">
      <c r="A113" s="11" t="n">
        <v>112</v>
      </c>
      <c r="B113" s="12" t="s">
        <v>10</v>
      </c>
      <c r="C113" s="26" t="n">
        <v>22845</v>
      </c>
      <c r="D113" s="14" t="n">
        <v>162719.95</v>
      </c>
      <c r="E113" s="27" t="n">
        <f aca="false">DATEDIF(C113, "12/31/2025", "Y")</f>
        <v>63</v>
      </c>
    </row>
    <row r="114" customFormat="false" ht="14.25" hidden="false" customHeight="false" outlineLevel="0" collapsed="false">
      <c r="A114" s="11" t="n">
        <v>113</v>
      </c>
      <c r="B114" s="12" t="s">
        <v>9</v>
      </c>
      <c r="C114" s="26" t="n">
        <v>21081</v>
      </c>
      <c r="D114" s="14" t="n">
        <v>62433.95</v>
      </c>
      <c r="E114" s="27" t="n">
        <f aca="false">DATEDIF(C114, "12/31/2025", "Y")</f>
        <v>68</v>
      </c>
    </row>
    <row r="115" customFormat="false" ht="14.25" hidden="false" customHeight="false" outlineLevel="0" collapsed="false">
      <c r="A115" s="11" t="n">
        <v>114</v>
      </c>
      <c r="B115" s="12" t="s">
        <v>10</v>
      </c>
      <c r="C115" s="26" t="n">
        <v>21154</v>
      </c>
      <c r="D115" s="14" t="n">
        <v>110915</v>
      </c>
      <c r="E115" s="27" t="n">
        <f aca="false">DATEDIF(C115, "12/31/2025", "Y")</f>
        <v>68</v>
      </c>
    </row>
    <row r="116" customFormat="false" ht="14.25" hidden="false" customHeight="false" outlineLevel="0" collapsed="false">
      <c r="A116" s="11" t="n">
        <v>115</v>
      </c>
      <c r="B116" s="12" t="s">
        <v>10</v>
      </c>
      <c r="C116" s="26" t="n">
        <v>20765</v>
      </c>
      <c r="D116" s="14" t="n">
        <v>156404.25</v>
      </c>
      <c r="E116" s="27" t="n">
        <f aca="false">DATEDIF(C116, "12/31/2025", "Y")</f>
        <v>69</v>
      </c>
    </row>
    <row r="117" customFormat="false" ht="14.25" hidden="false" customHeight="false" outlineLevel="0" collapsed="false">
      <c r="A117" s="11" t="n">
        <v>116</v>
      </c>
      <c r="B117" s="12" t="s">
        <v>10</v>
      </c>
      <c r="C117" s="26" t="n">
        <v>21020</v>
      </c>
      <c r="D117" s="14" t="n">
        <v>322620.05</v>
      </c>
      <c r="E117" s="27" t="n">
        <f aca="false">DATEDIF(C117, "12/31/2025", "Y")</f>
        <v>68</v>
      </c>
    </row>
    <row r="118" customFormat="false" ht="14.25" hidden="false" customHeight="false" outlineLevel="0" collapsed="false">
      <c r="A118" s="11" t="n">
        <v>117</v>
      </c>
      <c r="B118" s="12" t="s">
        <v>10</v>
      </c>
      <c r="C118" s="26" t="n">
        <v>19480</v>
      </c>
      <c r="D118" s="14" t="n">
        <v>322912</v>
      </c>
      <c r="E118" s="27" t="n">
        <f aca="false">DATEDIF(C118, "12/31/2025", "Y")</f>
        <v>72</v>
      </c>
    </row>
    <row r="119" customFormat="false" ht="14.25" hidden="false" customHeight="false" outlineLevel="0" collapsed="false">
      <c r="A119" s="11" t="n">
        <v>118</v>
      </c>
      <c r="B119" s="12" t="s">
        <v>10</v>
      </c>
      <c r="C119" s="26" t="n">
        <v>21867</v>
      </c>
      <c r="D119" s="14" t="n">
        <v>197963.55</v>
      </c>
      <c r="E119" s="27" t="n">
        <f aca="false">DATEDIF(C119, "12/31/2025", "Y")</f>
        <v>66</v>
      </c>
    </row>
    <row r="120" customFormat="false" ht="14.25" hidden="false" customHeight="false" outlineLevel="0" collapsed="false">
      <c r="A120" s="11" t="n">
        <v>119</v>
      </c>
      <c r="B120" s="12" t="s">
        <v>9</v>
      </c>
      <c r="C120" s="26" t="n">
        <v>20899</v>
      </c>
      <c r="D120" s="14" t="n">
        <v>166335.35</v>
      </c>
      <c r="E120" s="27" t="n">
        <f aca="false">DATEDIF(C120, "12/31/2025", "Y")</f>
        <v>68</v>
      </c>
    </row>
    <row r="121" customFormat="false" ht="14.25" hidden="false" customHeight="false" outlineLevel="0" collapsed="false">
      <c r="A121" s="11" t="n">
        <v>120</v>
      </c>
      <c r="B121" s="12" t="s">
        <v>10</v>
      </c>
      <c r="C121" s="26" t="n">
        <v>23089</v>
      </c>
      <c r="D121" s="14" t="n">
        <v>142116.3</v>
      </c>
      <c r="E121" s="27" t="n">
        <f aca="false">DATEDIF(C121, "12/31/2025", "Y")</f>
        <v>62</v>
      </c>
    </row>
    <row r="122" customFormat="false" ht="14.25" hidden="false" customHeight="false" outlineLevel="0" collapsed="false">
      <c r="A122" s="11" t="n">
        <v>121</v>
      </c>
      <c r="B122" s="12" t="s">
        <v>10</v>
      </c>
      <c r="C122" s="26" t="n">
        <v>20331</v>
      </c>
      <c r="D122" s="14" t="n">
        <v>112357.95</v>
      </c>
      <c r="E122" s="27" t="n">
        <f aca="false">DATEDIF(C122, "12/31/2025", "Y")</f>
        <v>70</v>
      </c>
    </row>
    <row r="123" customFormat="false" ht="14.25" hidden="false" customHeight="false" outlineLevel="0" collapsed="false">
      <c r="A123" s="11" t="n">
        <v>122</v>
      </c>
      <c r="B123" s="12" t="s">
        <v>10</v>
      </c>
      <c r="C123" s="26" t="n">
        <v>18832</v>
      </c>
      <c r="D123" s="14" t="n">
        <v>186315.95</v>
      </c>
      <c r="E123" s="27" t="n">
        <f aca="false">DATEDIF(C123, "12/31/2025", "Y")</f>
        <v>74</v>
      </c>
    </row>
    <row r="124" customFormat="false" ht="14.25" hidden="false" customHeight="false" outlineLevel="0" collapsed="false">
      <c r="A124" s="11" t="n">
        <v>123</v>
      </c>
      <c r="B124" s="12" t="s">
        <v>10</v>
      </c>
      <c r="C124" s="26" t="n">
        <v>20609</v>
      </c>
      <c r="D124" s="14" t="n">
        <v>294420.75</v>
      </c>
      <c r="E124" s="27" t="n">
        <f aca="false">DATEDIF(C124, "12/31/2025", "Y")</f>
        <v>69</v>
      </c>
    </row>
    <row r="125" customFormat="false" ht="14.25" hidden="false" customHeight="false" outlineLevel="0" collapsed="false">
      <c r="A125" s="11" t="n">
        <v>124</v>
      </c>
      <c r="B125" s="12" t="s">
        <v>9</v>
      </c>
      <c r="C125" s="26" t="n">
        <v>23102</v>
      </c>
      <c r="D125" s="14" t="n">
        <v>192970</v>
      </c>
      <c r="E125" s="27" t="n">
        <f aca="false">DATEDIF(C125, "12/31/2025", "Y")</f>
        <v>62</v>
      </c>
    </row>
    <row r="126" customFormat="false" ht="14.25" hidden="false" customHeight="false" outlineLevel="0" collapsed="false">
      <c r="A126" s="11" t="n">
        <v>125</v>
      </c>
      <c r="B126" s="12" t="s">
        <v>10</v>
      </c>
      <c r="C126" s="26" t="n">
        <v>21379</v>
      </c>
      <c r="D126" s="14" t="n">
        <v>109985.75</v>
      </c>
      <c r="E126" s="27" t="n">
        <f aca="false">DATEDIF(C126, "12/31/2025", "Y")</f>
        <v>67</v>
      </c>
    </row>
    <row r="127" customFormat="false" ht="14.25" hidden="false" customHeight="false" outlineLevel="0" collapsed="false">
      <c r="A127" s="11" t="n">
        <v>126</v>
      </c>
      <c r="B127" s="12" t="s">
        <v>10</v>
      </c>
      <c r="C127" s="26" t="n">
        <v>22169</v>
      </c>
      <c r="D127" s="14" t="n">
        <v>322912</v>
      </c>
      <c r="E127" s="27" t="n">
        <f aca="false">DATEDIF(C127, "12/31/2025", "Y")</f>
        <v>65</v>
      </c>
    </row>
    <row r="128" customFormat="false" ht="14.25" hidden="false" customHeight="false" outlineLevel="0" collapsed="false">
      <c r="A128" s="11" t="n">
        <v>127</v>
      </c>
      <c r="B128" s="12" t="s">
        <v>10</v>
      </c>
      <c r="C128" s="26" t="n">
        <v>23260</v>
      </c>
      <c r="D128" s="14" t="n">
        <v>186627.9</v>
      </c>
      <c r="E128" s="27" t="n">
        <f aca="false">DATEDIF(C128, "12/31/2025", "Y")</f>
        <v>62</v>
      </c>
    </row>
    <row r="129" customFormat="false" ht="14.25" hidden="false" customHeight="false" outlineLevel="0" collapsed="false">
      <c r="A129" s="11" t="n">
        <v>128</v>
      </c>
      <c r="B129" s="12" t="s">
        <v>9</v>
      </c>
      <c r="C129" s="26" t="n">
        <v>18499</v>
      </c>
      <c r="D129" s="14" t="n">
        <v>324120</v>
      </c>
      <c r="E129" s="27" t="n">
        <f aca="false">DATEDIF(C129, "12/31/2025", "Y")</f>
        <v>75</v>
      </c>
    </row>
    <row r="130" customFormat="false" ht="14.25" hidden="false" customHeight="false" outlineLevel="0" collapsed="false">
      <c r="A130" s="11" t="n">
        <v>129</v>
      </c>
      <c r="B130" s="12" t="s">
        <v>9</v>
      </c>
      <c r="C130" s="26" t="n">
        <v>21251</v>
      </c>
      <c r="D130" s="14" t="n">
        <v>324120</v>
      </c>
      <c r="E130" s="27" t="n">
        <f aca="false">DATEDIF(C130, "12/31/2025", "Y")</f>
        <v>67</v>
      </c>
    </row>
    <row r="131" customFormat="false" ht="14.25" hidden="false" customHeight="false" outlineLevel="0" collapsed="false">
      <c r="A131" s="11" t="n">
        <v>130</v>
      </c>
      <c r="B131" s="12" t="s">
        <v>10</v>
      </c>
      <c r="C131" s="26" t="n">
        <v>23126</v>
      </c>
      <c r="D131" s="14" t="n">
        <v>202152.75</v>
      </c>
      <c r="E131" s="27" t="n">
        <f aca="false">DATEDIF(C131, "12/31/2025", "Y")</f>
        <v>62</v>
      </c>
    </row>
    <row r="132" customFormat="false" ht="14.25" hidden="false" customHeight="false" outlineLevel="0" collapsed="false">
      <c r="A132" s="11" t="n">
        <v>131</v>
      </c>
      <c r="B132" s="12" t="s">
        <v>9</v>
      </c>
      <c r="C132" s="26" t="n">
        <v>24925</v>
      </c>
      <c r="D132" s="14" t="n">
        <v>182101.5</v>
      </c>
      <c r="E132" s="27" t="n">
        <f aca="false">DATEDIF(C132, "12/31/2025", "Y")</f>
        <v>57</v>
      </c>
    </row>
    <row r="133" customFormat="false" ht="14.25" hidden="false" customHeight="false" outlineLevel="0" collapsed="false">
      <c r="A133" s="11" t="n">
        <v>132</v>
      </c>
      <c r="B133" s="12" t="s">
        <v>9</v>
      </c>
      <c r="C133" s="26" t="n">
        <v>24865</v>
      </c>
      <c r="D133" s="14" t="n">
        <v>166232.4</v>
      </c>
      <c r="E133" s="27" t="n">
        <f aca="false">DATEDIF(C133, "12/31/2025", "Y")</f>
        <v>57</v>
      </c>
    </row>
    <row r="134" customFormat="false" ht="14.25" hidden="false" customHeight="false" outlineLevel="0" collapsed="false">
      <c r="A134" s="11" t="n">
        <v>133</v>
      </c>
      <c r="B134" s="12" t="s">
        <v>10</v>
      </c>
      <c r="C134" s="26" t="n">
        <v>21856</v>
      </c>
      <c r="D134" s="14" t="n">
        <v>322912</v>
      </c>
      <c r="E134" s="27" t="n">
        <f aca="false">DATEDIF(C134, "12/31/2025", "Y")</f>
        <v>66</v>
      </c>
    </row>
    <row r="135" customFormat="false" ht="14.25" hidden="false" customHeight="false" outlineLevel="0" collapsed="false">
      <c r="A135" s="11" t="n">
        <v>134</v>
      </c>
      <c r="B135" s="12" t="s">
        <v>9</v>
      </c>
      <c r="C135" s="26" t="n">
        <v>16921</v>
      </c>
      <c r="D135" s="14" t="n">
        <v>141298.25</v>
      </c>
      <c r="E135" s="27" t="n">
        <f aca="false">DATEDIF(C135, "12/31/2025", "Y")</f>
        <v>79</v>
      </c>
    </row>
    <row r="136" customFormat="false" ht="14.25" hidden="false" customHeight="false" outlineLevel="0" collapsed="false">
      <c r="A136" s="11" t="n">
        <v>135</v>
      </c>
      <c r="B136" s="12" t="s">
        <v>9</v>
      </c>
      <c r="C136" s="26" t="n">
        <v>20765</v>
      </c>
      <c r="D136" s="14" t="n">
        <v>103828.75</v>
      </c>
      <c r="E136" s="27" t="n">
        <f aca="false">DATEDIF(C136, "12/31/2025", "Y")</f>
        <v>69</v>
      </c>
    </row>
    <row r="137" customFormat="false" ht="14.25" hidden="false" customHeight="false" outlineLevel="0" collapsed="false">
      <c r="A137" s="11" t="n">
        <v>136</v>
      </c>
      <c r="B137" s="12" t="s">
        <v>9</v>
      </c>
      <c r="C137" s="26" t="n">
        <v>16975</v>
      </c>
      <c r="D137" s="14" t="n">
        <v>131930.45</v>
      </c>
      <c r="E137" s="27" t="n">
        <f aca="false">DATEDIF(C137, "12/31/2025", "Y")</f>
        <v>79</v>
      </c>
    </row>
    <row r="138" customFormat="false" ht="14.25" hidden="false" customHeight="false" outlineLevel="0" collapsed="false">
      <c r="A138" s="11" t="n">
        <v>137</v>
      </c>
      <c r="B138" s="12" t="s">
        <v>9</v>
      </c>
      <c r="C138" s="26" t="n">
        <v>14666</v>
      </c>
      <c r="D138" s="14" t="n">
        <v>139084.1</v>
      </c>
      <c r="E138" s="27" t="n">
        <f aca="false">DATEDIF(C138, "12/31/2025", "Y")</f>
        <v>85</v>
      </c>
    </row>
    <row r="139" customFormat="false" ht="14.25" hidden="false" customHeight="false" outlineLevel="0" collapsed="false">
      <c r="A139" s="11" t="n">
        <v>138</v>
      </c>
      <c r="B139" s="12" t="s">
        <v>10</v>
      </c>
      <c r="C139" s="26" t="n">
        <v>20696</v>
      </c>
      <c r="D139" s="14" t="n">
        <v>175620.75</v>
      </c>
      <c r="E139" s="27" t="n">
        <f aca="false">DATEDIF(C139, "12/31/2025", "Y")</f>
        <v>69</v>
      </c>
    </row>
    <row r="140" customFormat="false" ht="14.25" hidden="false" customHeight="false" outlineLevel="0" collapsed="false">
      <c r="A140" s="11" t="n">
        <v>139</v>
      </c>
      <c r="B140" s="12" t="s">
        <v>9</v>
      </c>
      <c r="C140" s="26" t="n">
        <v>20256</v>
      </c>
      <c r="D140" s="14" t="n">
        <v>146467.65</v>
      </c>
      <c r="E140" s="27" t="n">
        <f aca="false">DATEDIF(C140, "12/31/2025", "Y")</f>
        <v>70</v>
      </c>
    </row>
    <row r="141" customFormat="false" ht="14.25" hidden="false" customHeight="false" outlineLevel="0" collapsed="false">
      <c r="A141" s="11" t="n">
        <v>140</v>
      </c>
      <c r="B141" s="12" t="s">
        <v>9</v>
      </c>
      <c r="C141" s="26" t="n">
        <v>21868</v>
      </c>
      <c r="D141" s="14" t="n">
        <v>322912</v>
      </c>
      <c r="E141" s="27" t="n">
        <f aca="false">DATEDIF(C141, "12/31/2025", "Y")</f>
        <v>66</v>
      </c>
    </row>
    <row r="142" customFormat="false" ht="14.25" hidden="false" customHeight="false" outlineLevel="0" collapsed="false">
      <c r="A142" s="11" t="n">
        <v>141</v>
      </c>
      <c r="B142" s="12" t="s">
        <v>10</v>
      </c>
      <c r="C142" s="26" t="n">
        <v>23678</v>
      </c>
      <c r="D142" s="14" t="n">
        <v>324120</v>
      </c>
      <c r="E142" s="27" t="n">
        <f aca="false">DATEDIF(C142, "12/31/2025", "Y")</f>
        <v>61</v>
      </c>
    </row>
    <row r="143" customFormat="false" ht="14.25" hidden="false" customHeight="false" outlineLevel="0" collapsed="false">
      <c r="A143" s="11" t="n">
        <v>142</v>
      </c>
      <c r="B143" s="12" t="s">
        <v>9</v>
      </c>
      <c r="C143" s="26" t="n">
        <v>16039</v>
      </c>
      <c r="D143" s="14" t="n">
        <v>324120</v>
      </c>
      <c r="E143" s="27" t="n">
        <f aca="false">DATEDIF(C143, "12/31/2025", "Y")</f>
        <v>82</v>
      </c>
    </row>
    <row r="144" customFormat="false" ht="14.25" hidden="false" customHeight="false" outlineLevel="0" collapsed="false">
      <c r="A144" s="11" t="n">
        <v>143</v>
      </c>
      <c r="B144" s="12" t="s">
        <v>9</v>
      </c>
      <c r="C144" s="26" t="n">
        <v>21028</v>
      </c>
      <c r="D144" s="14" t="n">
        <v>82028.5</v>
      </c>
      <c r="E144" s="27" t="n">
        <f aca="false">DATEDIF(C144, "12/31/2025", "Y")</f>
        <v>68</v>
      </c>
    </row>
    <row r="145" customFormat="false" ht="14.25" hidden="false" customHeight="false" outlineLevel="0" collapsed="false">
      <c r="A145" s="11" t="n">
        <v>144</v>
      </c>
      <c r="B145" s="12" t="s">
        <v>9</v>
      </c>
      <c r="C145" s="26" t="n">
        <v>20214</v>
      </c>
      <c r="D145" s="14" t="n">
        <v>107447</v>
      </c>
      <c r="E145" s="27" t="n">
        <f aca="false">DATEDIF(C145, "12/31/2025", "Y")</f>
        <v>70</v>
      </c>
    </row>
    <row r="146" customFormat="false" ht="14.25" hidden="false" customHeight="false" outlineLevel="0" collapsed="false">
      <c r="A146" s="11" t="n">
        <v>145</v>
      </c>
      <c r="B146" s="12" t="s">
        <v>10</v>
      </c>
      <c r="C146" s="26" t="n">
        <v>20950</v>
      </c>
      <c r="D146" s="14" t="n">
        <v>133052.5</v>
      </c>
      <c r="E146" s="27" t="n">
        <f aca="false">DATEDIF(C146, "12/31/2025", "Y")</f>
        <v>68</v>
      </c>
    </row>
    <row r="147" customFormat="false" ht="14.25" hidden="false" customHeight="false" outlineLevel="0" collapsed="false">
      <c r="A147" s="11" t="n">
        <v>146</v>
      </c>
      <c r="B147" s="12" t="s">
        <v>9</v>
      </c>
      <c r="C147" s="26" t="n">
        <v>24016</v>
      </c>
      <c r="D147" s="14" t="n">
        <v>99363.25</v>
      </c>
      <c r="E147" s="27" t="n">
        <f aca="false">DATEDIF(C147, "12/31/2025", "Y")</f>
        <v>60</v>
      </c>
    </row>
    <row r="148" customFormat="false" ht="14.25" hidden="false" customHeight="false" outlineLevel="0" collapsed="false">
      <c r="A148" s="11" t="n">
        <v>147</v>
      </c>
      <c r="B148" s="12" t="s">
        <v>10</v>
      </c>
      <c r="C148" s="26" t="n">
        <v>15855</v>
      </c>
      <c r="D148" s="14" t="n">
        <v>72087.8</v>
      </c>
      <c r="E148" s="27" t="n">
        <f aca="false">DATEDIF(C148, "12/31/2025", "Y")</f>
        <v>82</v>
      </c>
    </row>
    <row r="149" customFormat="false" ht="14.25" hidden="false" customHeight="false" outlineLevel="0" collapsed="false">
      <c r="A149" s="11" t="n">
        <v>148</v>
      </c>
      <c r="B149" s="12" t="s">
        <v>9</v>
      </c>
      <c r="C149" s="26" t="n">
        <v>21567</v>
      </c>
      <c r="D149" s="14" t="n">
        <v>150793.35</v>
      </c>
      <c r="E149" s="27" t="n">
        <f aca="false">DATEDIF(C149, "12/31/2025", "Y")</f>
        <v>66</v>
      </c>
    </row>
    <row r="150" customFormat="false" ht="14.25" hidden="false" customHeight="false" outlineLevel="0" collapsed="false">
      <c r="A150" s="11" t="n">
        <v>149</v>
      </c>
      <c r="B150" s="12" t="s">
        <v>9</v>
      </c>
      <c r="C150" s="26" t="n">
        <v>18295</v>
      </c>
      <c r="D150" s="14" t="n">
        <v>149470.05</v>
      </c>
      <c r="E150" s="27" t="n">
        <f aca="false">DATEDIF(C150, "12/31/2025", "Y")</f>
        <v>75</v>
      </c>
    </row>
    <row r="151" customFormat="false" ht="14.25" hidden="false" customHeight="false" outlineLevel="0" collapsed="false">
      <c r="A151" s="11" t="n">
        <v>150</v>
      </c>
      <c r="B151" s="12" t="s">
        <v>10</v>
      </c>
      <c r="C151" s="26" t="n">
        <v>22432</v>
      </c>
      <c r="D151" s="14" t="n">
        <v>80427.3</v>
      </c>
      <c r="E151" s="27" t="n">
        <f aca="false">DATEDIF(C151, "12/31/2025", "Y")</f>
        <v>64</v>
      </c>
    </row>
    <row r="152" customFormat="false" ht="14.25" hidden="false" customHeight="false" outlineLevel="0" collapsed="false">
      <c r="A152" s="11" t="n">
        <v>151</v>
      </c>
      <c r="B152" s="12" t="s">
        <v>9</v>
      </c>
      <c r="C152" s="26" t="n">
        <v>22021</v>
      </c>
      <c r="D152" s="14" t="n">
        <v>318787</v>
      </c>
      <c r="E152" s="27" t="n">
        <f aca="false">DATEDIF(C152, "12/31/2025", "Y")</f>
        <v>65</v>
      </c>
    </row>
    <row r="153" customFormat="false" ht="14.25" hidden="false" customHeight="false" outlineLevel="0" collapsed="false">
      <c r="A153" s="11" t="n">
        <v>152</v>
      </c>
      <c r="B153" s="12" t="s">
        <v>9</v>
      </c>
      <c r="C153" s="26" t="n">
        <v>19348</v>
      </c>
      <c r="D153" s="14" t="n">
        <v>320412.8</v>
      </c>
      <c r="E153" s="27" t="n">
        <f aca="false">DATEDIF(C153, "12/31/2025", "Y")</f>
        <v>73</v>
      </c>
    </row>
    <row r="154" customFormat="false" ht="14.25" hidden="false" customHeight="false" outlineLevel="0" collapsed="false">
      <c r="A154" s="11" t="n">
        <v>153</v>
      </c>
      <c r="B154" s="12" t="s">
        <v>9</v>
      </c>
      <c r="C154" s="26" t="n">
        <v>18868</v>
      </c>
      <c r="D154" s="14" t="n">
        <v>98423.1</v>
      </c>
      <c r="E154" s="27" t="n">
        <f aca="false">DATEDIF(C154, "12/31/2025", "Y")</f>
        <v>74</v>
      </c>
    </row>
    <row r="155" customFormat="false" ht="14.25" hidden="false" customHeight="false" outlineLevel="0" collapsed="false">
      <c r="A155" s="11" t="n">
        <v>154</v>
      </c>
      <c r="B155" s="12" t="s">
        <v>10</v>
      </c>
      <c r="C155" s="26" t="n">
        <v>19592</v>
      </c>
      <c r="D155" s="14" t="n">
        <v>324120</v>
      </c>
      <c r="E155" s="27" t="n">
        <f aca="false">DATEDIF(C155, "12/31/2025", "Y")</f>
        <v>72</v>
      </c>
    </row>
    <row r="156" customFormat="false" ht="14.25" hidden="false" customHeight="false" outlineLevel="0" collapsed="false">
      <c r="A156" s="11" t="n">
        <v>155</v>
      </c>
      <c r="B156" s="12" t="s">
        <v>9</v>
      </c>
      <c r="C156" s="26" t="n">
        <v>22431</v>
      </c>
      <c r="D156" s="14" t="n">
        <v>318787</v>
      </c>
      <c r="E156" s="27" t="n">
        <f aca="false">DATEDIF(C156, "12/31/2025", "Y")</f>
        <v>64</v>
      </c>
    </row>
    <row r="157" customFormat="false" ht="14.25" hidden="false" customHeight="false" outlineLevel="0" collapsed="false">
      <c r="A157" s="11" t="n">
        <v>156</v>
      </c>
      <c r="B157" s="12" t="s">
        <v>9</v>
      </c>
      <c r="C157" s="26" t="n">
        <v>21951</v>
      </c>
      <c r="D157" s="14" t="n">
        <v>145800.6</v>
      </c>
      <c r="E157" s="27" t="n">
        <f aca="false">DATEDIF(C157, "12/31/2025", "Y")</f>
        <v>65</v>
      </c>
    </row>
    <row r="158" customFormat="false" ht="14.25" hidden="false" customHeight="false" outlineLevel="0" collapsed="false">
      <c r="A158" s="11" t="n">
        <v>157</v>
      </c>
      <c r="B158" s="12" t="s">
        <v>10</v>
      </c>
      <c r="C158" s="26" t="n">
        <v>22088</v>
      </c>
      <c r="D158" s="14" t="n">
        <v>61139.05</v>
      </c>
      <c r="E158" s="27" t="n">
        <f aca="false">DATEDIF(C158, "12/31/2025", "Y")</f>
        <v>65</v>
      </c>
    </row>
    <row r="159" customFormat="false" ht="14.25" hidden="false" customHeight="false" outlineLevel="0" collapsed="false">
      <c r="A159" s="11" t="n">
        <v>158</v>
      </c>
      <c r="B159" s="12" t="s">
        <v>9</v>
      </c>
      <c r="C159" s="26" t="n">
        <v>20128</v>
      </c>
      <c r="D159" s="14" t="n">
        <v>85015.7</v>
      </c>
      <c r="E159" s="27" t="n">
        <f aca="false">DATEDIF(C159, "12/31/2025", "Y")</f>
        <v>70</v>
      </c>
    </row>
    <row r="160" customFormat="false" ht="14.25" hidden="false" customHeight="false" outlineLevel="0" collapsed="false">
      <c r="A160" s="11" t="n">
        <v>159</v>
      </c>
      <c r="B160" s="12" t="s">
        <v>10</v>
      </c>
      <c r="C160" s="26" t="n">
        <v>18620</v>
      </c>
      <c r="D160" s="14" t="n">
        <v>324120</v>
      </c>
      <c r="E160" s="27" t="n">
        <f aca="false">DATEDIF(C160, "12/31/2025", "Y")</f>
        <v>75</v>
      </c>
    </row>
    <row r="161" customFormat="false" ht="14.25" hidden="false" customHeight="false" outlineLevel="0" collapsed="false">
      <c r="A161" s="11" t="n">
        <v>160</v>
      </c>
      <c r="B161" s="12" t="s">
        <v>9</v>
      </c>
      <c r="C161" s="26" t="n">
        <v>18406</v>
      </c>
      <c r="D161" s="14" t="n">
        <v>160736.8</v>
      </c>
      <c r="E161" s="27" t="n">
        <f aca="false">DATEDIF(C161, "12/31/2025", "Y")</f>
        <v>75</v>
      </c>
    </row>
    <row r="162" customFormat="false" ht="14.25" hidden="false" customHeight="false" outlineLevel="0" collapsed="false">
      <c r="A162" s="11" t="n">
        <v>161</v>
      </c>
      <c r="B162" s="12" t="s">
        <v>9</v>
      </c>
      <c r="C162" s="26" t="n">
        <v>20294</v>
      </c>
      <c r="D162" s="14" t="n">
        <v>161077.25</v>
      </c>
      <c r="E162" s="27" t="n">
        <f aca="false">DATEDIF(C162, "12/31/2025", "Y")</f>
        <v>70</v>
      </c>
    </row>
    <row r="163" customFormat="false" ht="14.25" hidden="false" customHeight="false" outlineLevel="0" collapsed="false">
      <c r="A163" s="11" t="n">
        <v>162</v>
      </c>
      <c r="B163" s="12" t="s">
        <v>10</v>
      </c>
      <c r="C163" s="26" t="n">
        <v>14504</v>
      </c>
      <c r="D163" s="14" t="n">
        <v>165144.2</v>
      </c>
      <c r="E163" s="27" t="n">
        <f aca="false">DATEDIF(C163, "12/31/2025", "Y")</f>
        <v>86</v>
      </c>
    </row>
    <row r="164" customFormat="false" ht="14.25" hidden="false" customHeight="false" outlineLevel="0" collapsed="false">
      <c r="A164" s="11" t="n">
        <v>163</v>
      </c>
      <c r="B164" s="12" t="s">
        <v>9</v>
      </c>
      <c r="C164" s="26" t="n">
        <v>20560</v>
      </c>
      <c r="D164" s="14" t="n">
        <v>324120</v>
      </c>
      <c r="E164" s="27" t="n">
        <f aca="false">DATEDIF(C164, "12/31/2025", "Y")</f>
        <v>69</v>
      </c>
    </row>
    <row r="165" customFormat="false" ht="14.25" hidden="false" customHeight="false" outlineLevel="0" collapsed="false">
      <c r="A165" s="11" t="n">
        <v>164</v>
      </c>
      <c r="B165" s="12" t="s">
        <v>9</v>
      </c>
      <c r="C165" s="26" t="n">
        <v>18826</v>
      </c>
      <c r="D165" s="14" t="n">
        <v>318787</v>
      </c>
      <c r="E165" s="27" t="n">
        <f aca="false">DATEDIF(C165, "12/31/2025", "Y")</f>
        <v>74</v>
      </c>
    </row>
    <row r="166" customFormat="false" ht="14.25" hidden="false" customHeight="false" outlineLevel="0" collapsed="false">
      <c r="A166" s="11" t="n">
        <v>165</v>
      </c>
      <c r="B166" s="12" t="s">
        <v>10</v>
      </c>
      <c r="C166" s="26" t="n">
        <v>16217</v>
      </c>
      <c r="D166" s="14" t="n">
        <v>153596.3</v>
      </c>
      <c r="E166" s="27" t="n">
        <f aca="false">DATEDIF(C166, "12/31/2025", "Y")</f>
        <v>81</v>
      </c>
    </row>
  </sheetData>
  <autoFilter ref="A1:D166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Eny S Vargas Ulate</dc:creator>
  <dc:description/>
  <dc:language>en-US</dc:language>
  <cp:lastModifiedBy/>
  <dcterms:modified xsi:type="dcterms:W3CDTF">2026-05-27T18:03:40Z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